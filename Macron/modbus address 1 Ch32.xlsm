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activeX/activeX5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15" windowWidth="11790" windowHeight="4320"/>
  </bookViews>
  <sheets>
    <sheet name="Holding Reg RW" sheetId="1" r:id="rId1"/>
    <sheet name="Uint Converter" sheetId="8" r:id="rId2"/>
    <sheet name="register" sheetId="11" r:id="rId3"/>
    <sheet name="reg 1" sheetId="12" r:id="rId4"/>
    <sheet name="Back-up" sheetId="13" r:id="rId5"/>
    <sheet name="Backup Data" sheetId="14" r:id="rId6"/>
  </sheets>
  <calcPr calcId="125725"/>
</workbook>
</file>

<file path=xl/calcChain.xml><?xml version="1.0" encoding="utf-8"?>
<calcChain xmlns="http://schemas.openxmlformats.org/spreadsheetml/2006/main">
  <c r="R24" i="1"/>
  <c r="B37" i="14"/>
  <c r="A3" i="13" l="1"/>
  <c r="B3"/>
  <c r="C3"/>
  <c r="D3"/>
  <c r="E3"/>
  <c r="F3"/>
  <c r="G3"/>
  <c r="H3"/>
  <c r="I3"/>
  <c r="J3"/>
  <c r="K3"/>
  <c r="L3"/>
  <c r="M3"/>
  <c r="N3"/>
  <c r="O3"/>
  <c r="P3"/>
  <c r="Q3"/>
  <c r="A4"/>
  <c r="B4"/>
  <c r="C4"/>
  <c r="D4"/>
  <c r="E4"/>
  <c r="F4"/>
  <c r="G4"/>
  <c r="H4"/>
  <c r="I4"/>
  <c r="J4"/>
  <c r="K4"/>
  <c r="L4"/>
  <c r="M4"/>
  <c r="N4"/>
  <c r="O4"/>
  <c r="P4"/>
  <c r="Q4"/>
  <c r="A5"/>
  <c r="B5"/>
  <c r="C5"/>
  <c r="D5"/>
  <c r="E5"/>
  <c r="F5"/>
  <c r="G5"/>
  <c r="H5"/>
  <c r="I5"/>
  <c r="J5"/>
  <c r="K5"/>
  <c r="L5"/>
  <c r="M5"/>
  <c r="N5"/>
  <c r="O5"/>
  <c r="P5"/>
  <c r="Q5"/>
  <c r="A6"/>
  <c r="B6"/>
  <c r="C6"/>
  <c r="D6"/>
  <c r="E6"/>
  <c r="F6"/>
  <c r="G6"/>
  <c r="H6"/>
  <c r="I6"/>
  <c r="J6"/>
  <c r="K6"/>
  <c r="L6"/>
  <c r="M6"/>
  <c r="N6"/>
  <c r="O6"/>
  <c r="P6"/>
  <c r="Q6"/>
  <c r="A7"/>
  <c r="B7"/>
  <c r="C7"/>
  <c r="D7"/>
  <c r="E7"/>
  <c r="F7"/>
  <c r="G7"/>
  <c r="H7"/>
  <c r="I7"/>
  <c r="J7"/>
  <c r="K7"/>
  <c r="L7"/>
  <c r="M7"/>
  <c r="N7"/>
  <c r="O7"/>
  <c r="P7"/>
  <c r="Q7"/>
  <c r="A8"/>
  <c r="B8"/>
  <c r="C8"/>
  <c r="D8"/>
  <c r="E8"/>
  <c r="F8"/>
  <c r="G8"/>
  <c r="H8"/>
  <c r="I8"/>
  <c r="J8"/>
  <c r="K8"/>
  <c r="L8"/>
  <c r="M8"/>
  <c r="N8"/>
  <c r="O8"/>
  <c r="P8"/>
  <c r="Q8"/>
  <c r="A9"/>
  <c r="B9"/>
  <c r="C9"/>
  <c r="D9"/>
  <c r="E9"/>
  <c r="F9"/>
  <c r="G9"/>
  <c r="H9"/>
  <c r="I9"/>
  <c r="J9"/>
  <c r="K9"/>
  <c r="L9"/>
  <c r="M9"/>
  <c r="N9"/>
  <c r="O9"/>
  <c r="P9"/>
  <c r="Q9"/>
  <c r="A10"/>
  <c r="B10"/>
  <c r="C10"/>
  <c r="D10"/>
  <c r="E10"/>
  <c r="F10"/>
  <c r="G10"/>
  <c r="H10"/>
  <c r="I10"/>
  <c r="J10"/>
  <c r="K10"/>
  <c r="L10"/>
  <c r="M10"/>
  <c r="N10"/>
  <c r="O10"/>
  <c r="P10"/>
  <c r="Q10"/>
  <c r="A11"/>
  <c r="B11"/>
  <c r="C11"/>
  <c r="D11"/>
  <c r="E11"/>
  <c r="F11"/>
  <c r="G11"/>
  <c r="H11"/>
  <c r="I11"/>
  <c r="J11"/>
  <c r="K11"/>
  <c r="L11"/>
  <c r="M11"/>
  <c r="N11"/>
  <c r="O11"/>
  <c r="P11"/>
  <c r="Q11"/>
  <c r="A12"/>
  <c r="B12"/>
  <c r="C12"/>
  <c r="D12"/>
  <c r="E12"/>
  <c r="F12"/>
  <c r="G12"/>
  <c r="H12"/>
  <c r="I12"/>
  <c r="J12"/>
  <c r="K12"/>
  <c r="L12"/>
  <c r="M12"/>
  <c r="N12"/>
  <c r="O12"/>
  <c r="P12"/>
  <c r="Q12"/>
  <c r="A13"/>
  <c r="B13"/>
  <c r="C13"/>
  <c r="D13"/>
  <c r="E13"/>
  <c r="F13"/>
  <c r="G13"/>
  <c r="H13"/>
  <c r="I13"/>
  <c r="J13"/>
  <c r="K13"/>
  <c r="L13"/>
  <c r="M13"/>
  <c r="N13"/>
  <c r="O13"/>
  <c r="P13"/>
  <c r="Q13"/>
  <c r="A14"/>
  <c r="B14"/>
  <c r="C14"/>
  <c r="D14"/>
  <c r="E14"/>
  <c r="F14"/>
  <c r="G14"/>
  <c r="H14"/>
  <c r="I14"/>
  <c r="J14"/>
  <c r="K14"/>
  <c r="L14"/>
  <c r="M14"/>
  <c r="N14"/>
  <c r="O14"/>
  <c r="P14"/>
  <c r="Q14"/>
  <c r="A15"/>
  <c r="B15"/>
  <c r="C15"/>
  <c r="D15"/>
  <c r="E15"/>
  <c r="F15"/>
  <c r="G15"/>
  <c r="H15"/>
  <c r="I15"/>
  <c r="J15"/>
  <c r="K15"/>
  <c r="L15"/>
  <c r="M15"/>
  <c r="N15"/>
  <c r="O15"/>
  <c r="P15"/>
  <c r="Q15"/>
  <c r="A16"/>
  <c r="B16"/>
  <c r="C16"/>
  <c r="D16"/>
  <c r="E16"/>
  <c r="F16"/>
  <c r="G16"/>
  <c r="H16"/>
  <c r="I16"/>
  <c r="J16"/>
  <c r="K16"/>
  <c r="L16"/>
  <c r="M16"/>
  <c r="N16"/>
  <c r="O16"/>
  <c r="P16"/>
  <c r="Q16"/>
  <c r="A17"/>
  <c r="B17"/>
  <c r="C17"/>
  <c r="D17"/>
  <c r="E17"/>
  <c r="F17"/>
  <c r="G17"/>
  <c r="H17"/>
  <c r="I17"/>
  <c r="J17"/>
  <c r="K17"/>
  <c r="L17"/>
  <c r="M17"/>
  <c r="N17"/>
  <c r="O17"/>
  <c r="P17"/>
  <c r="Q17"/>
  <c r="A18"/>
  <c r="B18"/>
  <c r="C18"/>
  <c r="D18"/>
  <c r="E18"/>
  <c r="F18"/>
  <c r="G18"/>
  <c r="H18"/>
  <c r="I18"/>
  <c r="J18"/>
  <c r="K18"/>
  <c r="L18"/>
  <c r="M18"/>
  <c r="N18"/>
  <c r="O18"/>
  <c r="P18"/>
  <c r="Q18"/>
  <c r="A19"/>
  <c r="B19"/>
  <c r="C19"/>
  <c r="D19"/>
  <c r="E19"/>
  <c r="F19"/>
  <c r="G19"/>
  <c r="H19"/>
  <c r="I19"/>
  <c r="J19"/>
  <c r="K19"/>
  <c r="L19"/>
  <c r="M19"/>
  <c r="N19"/>
  <c r="O19"/>
  <c r="P19"/>
  <c r="Q19"/>
  <c r="A20"/>
  <c r="B20"/>
  <c r="C20"/>
  <c r="D20"/>
  <c r="E20"/>
  <c r="F20"/>
  <c r="G20"/>
  <c r="H20"/>
  <c r="I20"/>
  <c r="J20"/>
  <c r="K20"/>
  <c r="L20"/>
  <c r="M20"/>
  <c r="N20"/>
  <c r="O20"/>
  <c r="P20"/>
  <c r="Q20"/>
  <c r="A21"/>
  <c r="B21"/>
  <c r="C21"/>
  <c r="D21"/>
  <c r="E21"/>
  <c r="F21"/>
  <c r="G21"/>
  <c r="H21"/>
  <c r="I21"/>
  <c r="J21"/>
  <c r="K21"/>
  <c r="L21"/>
  <c r="M21"/>
  <c r="N21"/>
  <c r="O21"/>
  <c r="P21"/>
  <c r="Q21"/>
  <c r="A22"/>
  <c r="B22"/>
  <c r="C22"/>
  <c r="D22"/>
  <c r="E22"/>
  <c r="F22"/>
  <c r="G22"/>
  <c r="H22"/>
  <c r="I22"/>
  <c r="J22"/>
  <c r="K22"/>
  <c r="L22"/>
  <c r="M22"/>
  <c r="N22"/>
  <c r="O22"/>
  <c r="P22"/>
  <c r="Q22"/>
  <c r="A23"/>
  <c r="B23"/>
  <c r="C23"/>
  <c r="D23"/>
  <c r="E23"/>
  <c r="F23"/>
  <c r="G23"/>
  <c r="H23"/>
  <c r="I23"/>
  <c r="J23"/>
  <c r="K23"/>
  <c r="L23"/>
  <c r="M23"/>
  <c r="N23"/>
  <c r="O23"/>
  <c r="P23"/>
  <c r="Q23"/>
  <c r="A24"/>
  <c r="B24"/>
  <c r="C24"/>
  <c r="D24"/>
  <c r="E24"/>
  <c r="F24"/>
  <c r="G24"/>
  <c r="H24"/>
  <c r="I24"/>
  <c r="J24"/>
  <c r="K24"/>
  <c r="L24"/>
  <c r="M24"/>
  <c r="N24"/>
  <c r="O24"/>
  <c r="P24"/>
  <c r="Q24"/>
  <c r="A25"/>
  <c r="B25"/>
  <c r="C25"/>
  <c r="D25"/>
  <c r="E25"/>
  <c r="F25"/>
  <c r="G25"/>
  <c r="H25"/>
  <c r="I25"/>
  <c r="J25"/>
  <c r="K25"/>
  <c r="L25"/>
  <c r="M25"/>
  <c r="N25"/>
  <c r="O25"/>
  <c r="P25"/>
  <c r="Q25"/>
  <c r="A26"/>
  <c r="B26"/>
  <c r="C26"/>
  <c r="D26"/>
  <c r="E26"/>
  <c r="F26"/>
  <c r="G26"/>
  <c r="H26"/>
  <c r="I26"/>
  <c r="J26"/>
  <c r="K26"/>
  <c r="L26"/>
  <c r="M26"/>
  <c r="N26"/>
  <c r="O26"/>
  <c r="P26"/>
  <c r="Q26"/>
  <c r="A27"/>
  <c r="B27"/>
  <c r="C27"/>
  <c r="D27"/>
  <c r="E27"/>
  <c r="F27"/>
  <c r="G27"/>
  <c r="H27"/>
  <c r="I27"/>
  <c r="J27"/>
  <c r="K27"/>
  <c r="L27"/>
  <c r="M27"/>
  <c r="N27"/>
  <c r="O27"/>
  <c r="P27"/>
  <c r="Q27"/>
  <c r="A28"/>
  <c r="B28"/>
  <c r="C28"/>
  <c r="D28"/>
  <c r="E28"/>
  <c r="F28"/>
  <c r="G28"/>
  <c r="H28"/>
  <c r="I28"/>
  <c r="J28"/>
  <c r="K28"/>
  <c r="L28"/>
  <c r="M28"/>
  <c r="N28"/>
  <c r="O28"/>
  <c r="P28"/>
  <c r="Q28"/>
  <c r="A29"/>
  <c r="B29"/>
  <c r="C29"/>
  <c r="D29"/>
  <c r="E29"/>
  <c r="F29"/>
  <c r="G29"/>
  <c r="H29"/>
  <c r="I29"/>
  <c r="J29"/>
  <c r="K29"/>
  <c r="L29"/>
  <c r="M29"/>
  <c r="N29"/>
  <c r="O29"/>
  <c r="P29"/>
  <c r="Q29"/>
  <c r="A30"/>
  <c r="B30"/>
  <c r="C30"/>
  <c r="D30"/>
  <c r="E30"/>
  <c r="F30"/>
  <c r="G30"/>
  <c r="H30"/>
  <c r="I30"/>
  <c r="J30"/>
  <c r="K30"/>
  <c r="L30"/>
  <c r="M30"/>
  <c r="N30"/>
  <c r="O30"/>
  <c r="P30"/>
  <c r="Q30"/>
  <c r="A31"/>
  <c r="B31"/>
  <c r="C31"/>
  <c r="D31"/>
  <c r="E31"/>
  <c r="F31"/>
  <c r="G31"/>
  <c r="H31"/>
  <c r="I31"/>
  <c r="J31"/>
  <c r="K31"/>
  <c r="L31"/>
  <c r="M31"/>
  <c r="N31"/>
  <c r="O31"/>
  <c r="P31"/>
  <c r="Q31"/>
  <c r="A32"/>
  <c r="B32"/>
  <c r="C32"/>
  <c r="D32"/>
  <c r="E32"/>
  <c r="F32"/>
  <c r="G32"/>
  <c r="H32"/>
  <c r="I32"/>
  <c r="J32"/>
  <c r="K32"/>
  <c r="L32"/>
  <c r="M32"/>
  <c r="N32"/>
  <c r="O32"/>
  <c r="P32"/>
  <c r="Q32"/>
  <c r="A33"/>
  <c r="B33"/>
  <c r="C33"/>
  <c r="D33"/>
  <c r="E33"/>
  <c r="F33"/>
  <c r="G33"/>
  <c r="H33"/>
  <c r="I33"/>
  <c r="J33"/>
  <c r="K33"/>
  <c r="L33"/>
  <c r="M33"/>
  <c r="N33"/>
  <c r="O33"/>
  <c r="P33"/>
  <c r="Q33"/>
  <c r="A34"/>
  <c r="B34"/>
  <c r="C34"/>
  <c r="D34"/>
  <c r="E34"/>
  <c r="F34"/>
  <c r="G34"/>
  <c r="H34"/>
  <c r="I34"/>
  <c r="J34"/>
  <c r="K34"/>
  <c r="L34"/>
  <c r="M34"/>
  <c r="N34"/>
  <c r="O34"/>
  <c r="P34"/>
  <c r="Q34"/>
  <c r="A35"/>
  <c r="B35"/>
  <c r="C35"/>
  <c r="D35"/>
  <c r="E35"/>
  <c r="F35"/>
  <c r="G35"/>
  <c r="H35"/>
  <c r="I35"/>
  <c r="J35"/>
  <c r="K35"/>
  <c r="L35"/>
  <c r="M35"/>
  <c r="N35"/>
  <c r="O35"/>
  <c r="P35"/>
  <c r="Q35"/>
  <c r="A36"/>
  <c r="B36"/>
  <c r="C36"/>
  <c r="D36"/>
  <c r="E36"/>
  <c r="F36"/>
  <c r="G36"/>
  <c r="H36"/>
  <c r="I36"/>
  <c r="J36"/>
  <c r="K36"/>
  <c r="L36"/>
  <c r="M36"/>
  <c r="N36"/>
  <c r="O36"/>
  <c r="P36"/>
  <c r="Q36"/>
  <c r="G35" i="8"/>
  <c r="G43" s="1"/>
  <c r="F35"/>
  <c r="F42" s="1"/>
  <c r="E35"/>
  <c r="E41" s="1"/>
  <c r="D35"/>
  <c r="D42" s="1"/>
  <c r="C35"/>
  <c r="C43" s="1"/>
  <c r="G24"/>
  <c r="G31" s="1"/>
  <c r="F24"/>
  <c r="F32" s="1"/>
  <c r="E24"/>
  <c r="E31" s="1"/>
  <c r="D24"/>
  <c r="D30" s="1"/>
  <c r="C24"/>
  <c r="C31" s="1"/>
  <c r="G13"/>
  <c r="G20" s="1"/>
  <c r="F13"/>
  <c r="F21" s="1"/>
  <c r="E13"/>
  <c r="E20" s="1"/>
  <c r="D13"/>
  <c r="D21" s="1"/>
  <c r="C13"/>
  <c r="C20" s="1"/>
  <c r="D10"/>
  <c r="C10"/>
  <c r="D9"/>
  <c r="C9"/>
  <c r="G17" l="1"/>
  <c r="D43"/>
  <c r="E43"/>
  <c r="C32"/>
  <c r="E32"/>
  <c r="G32"/>
  <c r="D32"/>
  <c r="D39"/>
  <c r="D41"/>
  <c r="F43"/>
  <c r="F39"/>
  <c r="F41"/>
  <c r="C40"/>
  <c r="E40"/>
  <c r="G40"/>
  <c r="C42"/>
  <c r="E42"/>
  <c r="G42"/>
  <c r="C39"/>
  <c r="E39"/>
  <c r="G39"/>
  <c r="D40"/>
  <c r="F40"/>
  <c r="C41"/>
  <c r="G41"/>
  <c r="C28"/>
  <c r="E28"/>
  <c r="G28"/>
  <c r="D29"/>
  <c r="F29"/>
  <c r="C30"/>
  <c r="E30"/>
  <c r="G30"/>
  <c r="D31"/>
  <c r="S2" i="1" s="1"/>
  <c r="F31" i="8"/>
  <c r="D28"/>
  <c r="F28"/>
  <c r="C29"/>
  <c r="E29"/>
  <c r="G29"/>
  <c r="F30"/>
  <c r="C17"/>
  <c r="E19"/>
  <c r="C21"/>
  <c r="E17"/>
  <c r="C19"/>
  <c r="G19"/>
  <c r="E21"/>
  <c r="G21"/>
  <c r="D18"/>
  <c r="F18"/>
  <c r="D20"/>
  <c r="F20"/>
  <c r="D17"/>
  <c r="F17"/>
  <c r="C18"/>
  <c r="S4" i="1" s="1"/>
  <c r="U4" s="1"/>
  <c r="E18" i="8"/>
  <c r="G18"/>
  <c r="D19"/>
  <c r="F19"/>
  <c r="S18" i="1" l="1"/>
  <c r="S20"/>
  <c r="S22"/>
  <c r="S19"/>
  <c r="S21"/>
  <c r="S23"/>
  <c r="S36"/>
  <c r="S35"/>
  <c r="S6"/>
  <c r="S7"/>
  <c r="S8"/>
  <c r="S9"/>
  <c r="S10"/>
  <c r="S11"/>
  <c r="S12"/>
  <c r="S13"/>
  <c r="S14"/>
  <c r="S15"/>
  <c r="S16"/>
  <c r="S17"/>
  <c r="R6"/>
  <c r="R7"/>
  <c r="R8"/>
  <c r="R9"/>
  <c r="R10"/>
  <c r="R11"/>
  <c r="R12"/>
  <c r="R13"/>
  <c r="R14"/>
  <c r="R15"/>
  <c r="R16"/>
  <c r="R17"/>
  <c r="R18"/>
  <c r="R19"/>
  <c r="R20"/>
  <c r="R21"/>
  <c r="R22"/>
  <c r="R23"/>
  <c r="S24"/>
  <c r="R25"/>
  <c r="S25"/>
  <c r="R26"/>
  <c r="S26"/>
  <c r="R27"/>
  <c r="S27"/>
  <c r="R28"/>
  <c r="S28"/>
  <c r="R29"/>
  <c r="S29"/>
  <c r="R30"/>
  <c r="S30"/>
  <c r="R31"/>
  <c r="S31"/>
  <c r="R32"/>
  <c r="S32"/>
  <c r="R33"/>
  <c r="S33"/>
  <c r="R34"/>
  <c r="S34"/>
  <c r="R35"/>
  <c r="R36"/>
  <c r="S5"/>
  <c r="R5"/>
</calcChain>
</file>

<file path=xl/sharedStrings.xml><?xml version="1.0" encoding="utf-8"?>
<sst xmlns="http://schemas.openxmlformats.org/spreadsheetml/2006/main" count="353" uniqueCount="224">
  <si>
    <t>Pressure</t>
    <phoneticPr fontId="0" type="noConversion"/>
  </si>
  <si>
    <t>Sensor Error</t>
    <phoneticPr fontId="0" type="noConversion"/>
  </si>
  <si>
    <t>Level</t>
    <phoneticPr fontId="0" type="noConversion"/>
  </si>
  <si>
    <t>Density</t>
    <phoneticPr fontId="0" type="noConversion"/>
  </si>
  <si>
    <t>Tank Offset</t>
    <phoneticPr fontId="0" type="noConversion"/>
  </si>
  <si>
    <t>Height</t>
    <phoneticPr fontId="0" type="noConversion"/>
  </si>
  <si>
    <t>Pressure Range</t>
    <phoneticPr fontId="0" type="noConversion"/>
  </si>
  <si>
    <t>Original Pressure</t>
    <phoneticPr fontId="0" type="noConversion"/>
  </si>
  <si>
    <t>Pipe Resister</t>
    <phoneticPr fontId="0" type="noConversion"/>
  </si>
  <si>
    <t>Internal Offset</t>
    <phoneticPr fontId="0" type="noConversion"/>
  </si>
  <si>
    <t>Internal Span</t>
    <phoneticPr fontId="0" type="noConversion"/>
  </si>
  <si>
    <t>Sensor Use</t>
    <phoneticPr fontId="0" type="noConversion"/>
  </si>
  <si>
    <t>ADC Value</t>
    <phoneticPr fontId="0" type="noConversion"/>
  </si>
  <si>
    <t>Zero Value</t>
    <phoneticPr fontId="0" type="noConversion"/>
  </si>
  <si>
    <t>Reading Add.</t>
    <phoneticPr fontId="0" type="noConversion"/>
  </si>
  <si>
    <t>Sensor Use</t>
    <phoneticPr fontId="0" type="noConversion"/>
  </si>
  <si>
    <t>Level</t>
  </si>
  <si>
    <t>SML 1000 D _ Electro-Pneumatic Type Level Gauging System</t>
    <phoneticPr fontId="7" type="noConversion"/>
  </si>
  <si>
    <t>Sensor Range Calculation</t>
    <phoneticPr fontId="7" type="noConversion"/>
  </si>
  <si>
    <t>Voltage to mbar, mmH2O, bit</t>
    <phoneticPr fontId="7" type="noConversion"/>
  </si>
  <si>
    <t>Information</t>
    <phoneticPr fontId="7" type="noConversion"/>
  </si>
  <si>
    <t>0.4V</t>
    <phoneticPr fontId="7" type="noConversion"/>
  </si>
  <si>
    <t>3.6V</t>
    <phoneticPr fontId="7" type="noConversion"/>
  </si>
  <si>
    <t>Psi</t>
    <phoneticPr fontId="7" type="noConversion"/>
  </si>
  <si>
    <t>mbar</t>
    <phoneticPr fontId="7" type="noConversion"/>
  </si>
  <si>
    <t>mmH2O</t>
    <phoneticPr fontId="7" type="noConversion"/>
  </si>
  <si>
    <t>400mV</t>
    <phoneticPr fontId="7" type="noConversion"/>
  </si>
  <si>
    <t>3600mV</t>
    <phoneticPr fontId="7" type="noConversion"/>
  </si>
  <si>
    <t>16 bit,4V</t>
    <phoneticPr fontId="7" type="noConversion"/>
  </si>
  <si>
    <t>0~4V</t>
    <phoneticPr fontId="7" type="noConversion"/>
  </si>
  <si>
    <t>4000mV</t>
    <phoneticPr fontId="7" type="noConversion"/>
  </si>
  <si>
    <t>16 bit,3.2V</t>
    <phoneticPr fontId="7" type="noConversion"/>
  </si>
  <si>
    <t>Voltage(mV)</t>
    <phoneticPr fontId="7" type="noConversion"/>
  </si>
  <si>
    <t>1mV</t>
    <phoneticPr fontId="7" type="noConversion"/>
  </si>
  <si>
    <t>30 PSI</t>
    <phoneticPr fontId="7" type="noConversion"/>
  </si>
  <si>
    <t>50PSI</t>
    <phoneticPr fontId="7" type="noConversion"/>
  </si>
  <si>
    <t>Voltage</t>
    <phoneticPr fontId="7" type="noConversion"/>
  </si>
  <si>
    <t>Volt - Digital</t>
    <phoneticPr fontId="7" type="noConversion"/>
  </si>
  <si>
    <t>Pressure</t>
    <phoneticPr fontId="7" type="noConversion"/>
  </si>
  <si>
    <t>Level</t>
    <phoneticPr fontId="7" type="noConversion"/>
  </si>
  <si>
    <t>To Pressure</t>
    <phoneticPr fontId="7" type="noConversion"/>
  </si>
  <si>
    <t>16bit - 21092</t>
    <phoneticPr fontId="7" type="noConversion"/>
  </si>
  <si>
    <t>Voltage - 21092</t>
    <phoneticPr fontId="7" type="noConversion"/>
  </si>
  <si>
    <t>16bit - 35153</t>
    <phoneticPr fontId="7" type="noConversion"/>
  </si>
  <si>
    <t>Voltage - 35153</t>
    <phoneticPr fontId="7" type="noConversion"/>
  </si>
  <si>
    <t>Pressure</t>
    <phoneticPr fontId="7" type="noConversion"/>
  </si>
  <si>
    <t>Bit</t>
    <phoneticPr fontId="7" type="noConversion"/>
  </si>
  <si>
    <t>To Level</t>
    <phoneticPr fontId="7" type="noConversion"/>
  </si>
  <si>
    <t>16bit - 20684</t>
    <phoneticPr fontId="7" type="noConversion"/>
  </si>
  <si>
    <t>Voltage - 20684</t>
    <phoneticPr fontId="7" type="noConversion"/>
  </si>
  <si>
    <t>16bit - 34474</t>
    <phoneticPr fontId="7" type="noConversion"/>
  </si>
  <si>
    <t>Voltage - 34474</t>
    <phoneticPr fontId="7" type="noConversion"/>
  </si>
  <si>
    <t>Company</t>
    <phoneticPr fontId="7" type="noConversion"/>
  </si>
  <si>
    <t>Scanjet Macron</t>
    <phoneticPr fontId="7" type="noConversion"/>
  </si>
  <si>
    <t>System</t>
    <phoneticPr fontId="7" type="noConversion"/>
  </si>
  <si>
    <t>Electro-Pneumatic Tank Level Gauging &amp; Draft Measuring System</t>
    <phoneticPr fontId="7" type="noConversion"/>
  </si>
  <si>
    <t>MODBUS HOLDING REGISTER DESCRIPTION FOR PRESSURE SENSOR</t>
    <phoneticPr fontId="7" type="noConversion"/>
  </si>
  <si>
    <t>Address Range</t>
    <phoneticPr fontId="7" type="noConversion"/>
  </si>
  <si>
    <t>Parameters</t>
    <phoneticPr fontId="7" type="noConversion"/>
  </si>
  <si>
    <t>Access</t>
    <phoneticPr fontId="7" type="noConversion"/>
  </si>
  <si>
    <t>Value</t>
    <phoneticPr fontId="7" type="noConversion"/>
  </si>
  <si>
    <t>Unit</t>
    <phoneticPr fontId="7" type="noConversion"/>
  </si>
  <si>
    <t>Description</t>
    <phoneticPr fontId="7" type="noConversion"/>
  </si>
  <si>
    <t>Relay Status</t>
    <phoneticPr fontId="7" type="noConversion"/>
  </si>
  <si>
    <t>dynamic</t>
    <phoneticPr fontId="7" type="noConversion"/>
  </si>
  <si>
    <t>1,4,8</t>
    <phoneticPr fontId="7" type="noConversion"/>
  </si>
  <si>
    <t>-</t>
    <phoneticPr fontId="7" type="noConversion"/>
  </si>
  <si>
    <t>1: System Fail Relay On, 4:Common Relay On, 8: Low Pressure Relay On</t>
    <phoneticPr fontId="7" type="noConversion"/>
  </si>
  <si>
    <t>Sensor Status</t>
    <phoneticPr fontId="7" type="noConversion"/>
  </si>
  <si>
    <t>0, 1</t>
    <phoneticPr fontId="7" type="noConversion"/>
  </si>
  <si>
    <t>0: Normal, 1: Error</t>
    <phoneticPr fontId="7" type="noConversion"/>
  </si>
  <si>
    <t>dynamic</t>
  </si>
  <si>
    <t>0~99.99</t>
  </si>
  <si>
    <t>m</t>
  </si>
  <si>
    <t>The level is not corrected by trim/list</t>
  </si>
  <si>
    <t>Density</t>
    <phoneticPr fontId="7" type="noConversion"/>
  </si>
  <si>
    <t>Changeable</t>
    <phoneticPr fontId="7" type="noConversion"/>
  </si>
  <si>
    <t>0~9.999  kg/cm3</t>
    <phoneticPr fontId="7" type="noConversion"/>
  </si>
  <si>
    <t>kg/m3</t>
    <phoneticPr fontId="7" type="noConversion"/>
  </si>
  <si>
    <t>Liquid density is applied for level calculation</t>
    <phoneticPr fontId="7" type="noConversion"/>
  </si>
  <si>
    <t>Tank Offset</t>
    <phoneticPr fontId="7" type="noConversion"/>
  </si>
  <si>
    <t>0~59.999</t>
    <phoneticPr fontId="7" type="noConversion"/>
  </si>
  <si>
    <t>m</t>
    <phoneticPr fontId="7" type="noConversion"/>
  </si>
  <si>
    <t>Physical distance. It is not measured level by air bubbling</t>
    <phoneticPr fontId="7" type="noConversion"/>
  </si>
  <si>
    <t>0~65,535</t>
    <phoneticPr fontId="7" type="noConversion"/>
  </si>
  <si>
    <t>Will be shown presure with mbar on LCD</t>
    <phoneticPr fontId="7" type="noConversion"/>
  </si>
  <si>
    <t>Pr</t>
    <phoneticPr fontId="7" type="noConversion"/>
  </si>
  <si>
    <t>Pipe resistance should be checked at empty tank</t>
    <phoneticPr fontId="7" type="noConversion"/>
  </si>
  <si>
    <t>Height</t>
    <phoneticPr fontId="7" type="noConversion"/>
  </si>
  <si>
    <t>0~99.99</t>
    <phoneticPr fontId="7" type="noConversion"/>
  </si>
  <si>
    <t>The value is not considered for liquid density</t>
    <phoneticPr fontId="7" type="noConversion"/>
  </si>
  <si>
    <t>Internal offset</t>
    <phoneticPr fontId="7" type="noConversion"/>
  </si>
  <si>
    <t xml:space="preserve"> -32000 ~ +32000</t>
    <phoneticPr fontId="7" type="noConversion"/>
  </si>
  <si>
    <t>Internal offset doesn't show on the service display unit. Digital Value (After AD Converting)</t>
    <phoneticPr fontId="7" type="noConversion"/>
  </si>
  <si>
    <t>Pressure Range</t>
    <phoneticPr fontId="7" type="noConversion"/>
  </si>
  <si>
    <t>Editable range Pressure upto 65,535</t>
    <phoneticPr fontId="7" type="noConversion"/>
  </si>
  <si>
    <t>min. calibration for Rescale</t>
    <phoneticPr fontId="7" type="noConversion"/>
  </si>
  <si>
    <t xml:space="preserve">When rescaling, 4mA current is sending to Instrument but it is editable by actual printed scale plate  </t>
    <phoneticPr fontId="7" type="noConversion"/>
  </si>
  <si>
    <t>max. calibration for Rescale</t>
    <phoneticPr fontId="7" type="noConversion"/>
  </si>
  <si>
    <t xml:space="preserve">When rescaling, 20mA current is sending to Instrument but it is editable by actual printed scale plate  </t>
    <phoneticPr fontId="7" type="noConversion"/>
  </si>
  <si>
    <t>Orginal Pressure</t>
    <phoneticPr fontId="7" type="noConversion"/>
  </si>
  <si>
    <t>0 ~ Pressure Range</t>
    <phoneticPr fontId="7" type="noConversion"/>
  </si>
  <si>
    <t>without Pipe resistance &amp; Density &amp; Tank Offset</t>
    <phoneticPr fontId="7" type="noConversion"/>
  </si>
  <si>
    <t>AD Convertor Digital Value</t>
    <phoneticPr fontId="7" type="noConversion"/>
  </si>
  <si>
    <t>Digital Value After AD Converting</t>
    <phoneticPr fontId="7" type="noConversion"/>
  </si>
  <si>
    <t>Internal span</t>
    <phoneticPr fontId="7" type="noConversion"/>
  </si>
  <si>
    <t>Internal span doesn't show on the service display unit. Digital Value (After AD Converting)</t>
    <phoneticPr fontId="7" type="noConversion"/>
  </si>
  <si>
    <t>Use Sensor</t>
    <phoneticPr fontId="7" type="noConversion"/>
  </si>
  <si>
    <t>0, etc</t>
    <phoneticPr fontId="7" type="noConversion"/>
  </si>
  <si>
    <t>0: Use, etc : Not use</t>
    <phoneticPr fontId="7" type="noConversion"/>
  </si>
  <si>
    <t>Register No</t>
    <phoneticPr fontId="7" type="noConversion"/>
  </si>
  <si>
    <t>Name</t>
    <phoneticPr fontId="7" type="noConversion"/>
  </si>
  <si>
    <t>Description</t>
    <phoneticPr fontId="7" type="noConversion"/>
  </si>
  <si>
    <t>Relay Status</t>
    <phoneticPr fontId="7" type="noConversion"/>
  </si>
  <si>
    <t>Sensor Status</t>
    <phoneticPr fontId="7" type="noConversion"/>
  </si>
  <si>
    <t>Density</t>
    <phoneticPr fontId="7" type="noConversion"/>
  </si>
  <si>
    <t>Tank Offset</t>
    <phoneticPr fontId="7" type="noConversion"/>
  </si>
  <si>
    <t>2600-Pj</t>
    <phoneticPr fontId="7" type="noConversion"/>
  </si>
  <si>
    <t>Pipe Flow Resistance</t>
    <phoneticPr fontId="7" type="noConversion"/>
  </si>
  <si>
    <t>Height</t>
    <phoneticPr fontId="7" type="noConversion"/>
  </si>
  <si>
    <r>
      <rPr>
        <b/>
        <sz val="10"/>
        <rFont val="돋움"/>
        <family val="3"/>
        <charset val="129"/>
      </rPr>
      <t>압력</t>
    </r>
    <r>
      <rPr>
        <b/>
        <sz val="10"/>
        <rFont val="Arial"/>
        <family val="2"/>
      </rPr>
      <t>/g</t>
    </r>
    <phoneticPr fontId="7" type="noConversion"/>
  </si>
  <si>
    <t>Internal offset for zero</t>
    <phoneticPr fontId="7" type="noConversion"/>
  </si>
  <si>
    <r>
      <t>zero</t>
    </r>
    <r>
      <rPr>
        <b/>
        <sz val="10"/>
        <rFont val="돋움"/>
        <family val="3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누를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당시에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저장되는</t>
    </r>
    <r>
      <rPr>
        <b/>
        <sz val="10"/>
        <rFont val="Arial"/>
        <family val="2"/>
      </rPr>
      <t xml:space="preserve"> AD</t>
    </r>
    <r>
      <rPr>
        <b/>
        <sz val="10"/>
        <rFont val="돋움"/>
        <family val="3"/>
        <charset val="129"/>
      </rPr>
      <t>값</t>
    </r>
    <phoneticPr fontId="7" type="noConversion"/>
  </si>
  <si>
    <r>
      <t>span</t>
    </r>
    <r>
      <rPr>
        <b/>
        <sz val="10"/>
        <rFont val="돋움"/>
        <family val="3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누를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당시에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저장되는</t>
    </r>
    <r>
      <rPr>
        <b/>
        <sz val="10"/>
        <rFont val="Arial"/>
        <family val="2"/>
      </rPr>
      <t xml:space="preserve"> AD</t>
    </r>
    <r>
      <rPr>
        <b/>
        <sz val="10"/>
        <rFont val="돋움"/>
        <family val="3"/>
        <charset val="129"/>
      </rPr>
      <t>값</t>
    </r>
    <phoneticPr fontId="7" type="noConversion"/>
  </si>
  <si>
    <t>min. DAU</t>
    <phoneticPr fontId="7" type="noConversion"/>
  </si>
  <si>
    <t>max. DAU</t>
    <phoneticPr fontId="7" type="noConversion"/>
  </si>
  <si>
    <t>Original Pressure</t>
    <phoneticPr fontId="7" type="noConversion"/>
  </si>
  <si>
    <r>
      <t>2600</t>
    </r>
    <r>
      <rPr>
        <b/>
        <sz val="10"/>
        <rFont val="돋움"/>
        <family val="3"/>
        <charset val="129"/>
      </rPr>
      <t>에서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어떤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것도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보정하지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않는</t>
    </r>
    <r>
      <rPr>
        <b/>
        <sz val="10"/>
        <rFont val="Arial"/>
        <family val="2"/>
      </rPr>
      <t xml:space="preserve"> pressure</t>
    </r>
    <phoneticPr fontId="7" type="noConversion"/>
  </si>
  <si>
    <t>Original AD</t>
    <phoneticPr fontId="7" type="noConversion"/>
  </si>
  <si>
    <r>
      <t>6553~58982: internal offset</t>
    </r>
    <r>
      <rPr>
        <b/>
        <sz val="10"/>
        <rFont val="돋움"/>
        <family val="3"/>
        <charset val="129"/>
      </rPr>
      <t>고려한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것임</t>
    </r>
    <phoneticPr fontId="7" type="noConversion"/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</si>
  <si>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</si>
  <si>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</si>
  <si>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</si>
  <si>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</si>
  <si>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</si>
  <si>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</si>
  <si>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</si>
  <si>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</si>
  <si>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</si>
  <si>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Ch11</t>
  </si>
  <si>
    <t>Ch12</t>
  </si>
  <si>
    <t>Ch13</t>
  </si>
  <si>
    <t>Ch14</t>
  </si>
  <si>
    <t>Ch15</t>
  </si>
  <si>
    <t>Ch16</t>
  </si>
  <si>
    <t>16 bit - Digital</t>
    <phoneticPr fontId="4" type="noConversion"/>
  </si>
  <si>
    <t>P (2068.4)</t>
    <phoneticPr fontId="7" type="noConversion"/>
  </si>
  <si>
    <t>L(21092 mm)</t>
    <phoneticPr fontId="7" type="noConversion"/>
  </si>
  <si>
    <t>P(3447.4)</t>
    <phoneticPr fontId="7" type="noConversion"/>
  </si>
  <si>
    <t>L(35153 mm)</t>
    <phoneticPr fontId="7" type="noConversion"/>
  </si>
  <si>
    <t>ZERO (901)</t>
    <phoneticPr fontId="0" type="noConversion"/>
  </si>
  <si>
    <t>2701_ATM</t>
    <phoneticPr fontId="4" type="noConversion"/>
  </si>
  <si>
    <t>ATM 30PSI</t>
    <phoneticPr fontId="0" type="noConversion"/>
  </si>
  <si>
    <t>Voltage</t>
    <phoneticPr fontId="4" type="noConversion"/>
  </si>
  <si>
    <t>Level(mm)</t>
    <phoneticPr fontId="4" type="noConversion"/>
  </si>
  <si>
    <t>Pressure(mbarG)</t>
    <phoneticPr fontId="4" type="noConversion"/>
  </si>
  <si>
    <t>Digital</t>
    <phoneticPr fontId="0" type="noConversion"/>
  </si>
  <si>
    <t>SPAN (2701)</t>
    <phoneticPr fontId="0" type="noConversion"/>
  </si>
  <si>
    <t>Ch1</t>
    <phoneticPr fontId="0" type="noConversion"/>
  </si>
  <si>
    <t>Ch17</t>
  </si>
  <si>
    <t>Ch18</t>
  </si>
  <si>
    <t>Ch19</t>
  </si>
  <si>
    <t>Ch20</t>
  </si>
  <si>
    <t>Ch21</t>
  </si>
  <si>
    <t>Ch22</t>
  </si>
  <si>
    <t>Ch23</t>
  </si>
  <si>
    <t>Ch24</t>
  </si>
  <si>
    <t>Ch25</t>
  </si>
  <si>
    <t>Ch26</t>
  </si>
  <si>
    <t>Ch27</t>
  </si>
  <si>
    <t>Ch28</t>
  </si>
  <si>
    <t>Ch29</t>
  </si>
  <si>
    <t>Ch30</t>
  </si>
  <si>
    <t>Ch31</t>
  </si>
  <si>
    <t>Ch32</t>
  </si>
  <si>
    <t>Writing</t>
    <phoneticPr fontId="0" type="noConversion"/>
  </si>
  <si>
    <t>Sensor Error</t>
  </si>
  <si>
    <t>Density</t>
  </si>
  <si>
    <t>Tank Offset</t>
  </si>
  <si>
    <t>Pressure</t>
  </si>
  <si>
    <t>Pipe Resister</t>
  </si>
  <si>
    <t>Height</t>
  </si>
  <si>
    <t>Internal Offset</t>
  </si>
  <si>
    <t>Pressure Range</t>
  </si>
  <si>
    <t>Zero Value</t>
  </si>
  <si>
    <t>Original Pressure</t>
  </si>
  <si>
    <t>ADC Value</t>
  </si>
  <si>
    <t>Internal Span</t>
  </si>
  <si>
    <t>Sensor Use</t>
  </si>
  <si>
    <t>Digital</t>
  </si>
  <si>
    <t>Ch1</t>
  </si>
  <si>
    <t>Span Cal.</t>
    <phoneticPr fontId="0" type="noConversion"/>
  </si>
  <si>
    <t>Cal.  Range</t>
    <phoneticPr fontId="0" type="noConversion"/>
  </si>
  <si>
    <t>Span Cal.</t>
  </si>
  <si>
    <t>User Offset</t>
    <phoneticPr fontId="0" type="noConversion"/>
  </si>
  <si>
    <r>
      <rPr>
        <sz val="10"/>
        <color rgb="FFFF0000"/>
        <rFont val="돋움"/>
        <family val="3"/>
        <charset val="129"/>
      </rPr>
      <t>저장시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돋움"/>
        <family val="3"/>
        <charset val="129"/>
      </rPr>
      <t>반드시</t>
    </r>
    <r>
      <rPr>
        <sz val="10"/>
        <color rgb="FFFF0000"/>
        <rFont val="Arial"/>
        <family val="2"/>
      </rPr>
      <t xml:space="preserve"> Writing </t>
    </r>
    <r>
      <rPr>
        <sz val="10"/>
        <color rgb="FFFF0000"/>
        <rFont val="돋움"/>
        <family val="3"/>
        <charset val="129"/>
      </rPr>
      <t>에</t>
    </r>
    <r>
      <rPr>
        <sz val="10"/>
        <color rgb="FFFF0000"/>
        <rFont val="Arial"/>
        <family val="2"/>
      </rPr>
      <t xml:space="preserve"> "0"</t>
    </r>
    <r>
      <rPr>
        <sz val="10"/>
        <color rgb="FFFF0000"/>
        <rFont val="돋움"/>
        <family val="3"/>
        <charset val="129"/>
      </rPr>
      <t>으로</t>
    </r>
    <r>
      <rPr>
        <sz val="10"/>
        <color rgb="FFFF0000"/>
        <rFont val="Arial"/>
        <family val="2"/>
      </rPr>
      <t xml:space="preserve"> </t>
    </r>
    <r>
      <rPr>
        <sz val="10"/>
        <color rgb="FFFF0000"/>
        <rFont val="돋움"/>
        <family val="3"/>
        <charset val="129"/>
      </rPr>
      <t>만들것</t>
    </r>
    <phoneticPr fontId="0" type="noConversion"/>
  </si>
  <si>
    <t>User Offset</t>
  </si>
  <si>
    <t>Cabinet address 1</t>
    <phoneticPr fontId="0" type="noConversion"/>
  </si>
  <si>
    <t>Date</t>
    <phoneticPr fontId="4" type="noConversion"/>
  </si>
  <si>
    <t>0:on, 1:off , 255:nothing</t>
    <phoneticPr fontId="7" type="noConversion"/>
  </si>
  <si>
    <t>비중</t>
    <phoneticPr fontId="4" type="noConversion"/>
  </si>
  <si>
    <t>dead zone</t>
    <phoneticPr fontId="4" type="noConversion"/>
  </si>
  <si>
    <r>
      <t xml:space="preserve">pipe </t>
    </r>
    <r>
      <rPr>
        <b/>
        <sz val="10"/>
        <rFont val="돋움"/>
        <family val="3"/>
        <charset val="129"/>
      </rPr>
      <t>저항값</t>
    </r>
    <phoneticPr fontId="4" type="noConversion"/>
  </si>
  <si>
    <t>AD Back Up</t>
    <phoneticPr fontId="7" type="noConversion"/>
  </si>
  <si>
    <t>PW : 1179</t>
    <phoneticPr fontId="4" type="noConversion"/>
  </si>
  <si>
    <r>
      <t xml:space="preserve">AD </t>
    </r>
    <r>
      <rPr>
        <b/>
        <sz val="10"/>
        <rFont val="돋움"/>
        <family val="3"/>
        <charset val="129"/>
      </rPr>
      <t>보상</t>
    </r>
    <r>
      <rPr>
        <b/>
        <sz val="10"/>
        <rFont val="Arial"/>
        <family val="2"/>
      </rPr>
      <t xml:space="preserve"> setting </t>
    </r>
    <r>
      <rPr>
        <b/>
        <sz val="10"/>
        <rFont val="돋움"/>
        <family val="3"/>
        <charset val="129"/>
      </rPr>
      <t>값</t>
    </r>
    <r>
      <rPr>
        <b/>
        <sz val="10"/>
        <rFont val="Arial"/>
        <family val="2"/>
      </rPr>
      <t xml:space="preserve">(2600 </t>
    </r>
    <r>
      <rPr>
        <b/>
        <sz val="10"/>
        <rFont val="돋움"/>
        <family val="3"/>
        <charset val="129"/>
      </rPr>
      <t>번지</t>
    </r>
    <r>
      <rPr>
        <b/>
        <sz val="10"/>
        <rFont val="Arial"/>
        <family val="2"/>
      </rPr>
      <t>)</t>
    </r>
    <phoneticPr fontId="7" type="noConversion"/>
  </si>
  <si>
    <t xml:space="preserve">Sensor Range </t>
    <phoneticPr fontId="7" type="noConversion"/>
  </si>
  <si>
    <r>
      <t>1000</t>
    </r>
    <r>
      <rPr>
        <b/>
        <sz val="10"/>
        <rFont val="돋움"/>
        <family val="3"/>
        <charset val="129"/>
      </rPr>
      <t>번지에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대한</t>
    </r>
    <r>
      <rPr>
        <b/>
        <sz val="10"/>
        <rFont val="Arial"/>
        <family val="2"/>
      </rPr>
      <t xml:space="preserve"> bit </t>
    </r>
    <r>
      <rPr>
        <b/>
        <sz val="10"/>
        <rFont val="돋움"/>
        <family val="3"/>
        <charset val="129"/>
      </rPr>
      <t>값</t>
    </r>
    <phoneticPr fontId="4" type="noConversion"/>
  </si>
  <si>
    <r>
      <t>AD</t>
    </r>
    <r>
      <rPr>
        <b/>
        <sz val="10"/>
        <rFont val="돋움"/>
        <family val="3"/>
        <charset val="129"/>
      </rPr>
      <t>보상</t>
    </r>
    <r>
      <rPr>
        <b/>
        <sz val="10"/>
        <rFont val="Arial"/>
        <family val="2"/>
      </rPr>
      <t xml:space="preserve"> setting </t>
    </r>
    <r>
      <rPr>
        <b/>
        <sz val="10"/>
        <rFont val="돋움"/>
        <family val="3"/>
        <charset val="129"/>
      </rPr>
      <t>값</t>
    </r>
    <r>
      <rPr>
        <b/>
        <sz val="10"/>
        <rFont val="Arial"/>
        <family val="2"/>
      </rPr>
      <t>(3000</t>
    </r>
    <r>
      <rPr>
        <b/>
        <sz val="10"/>
        <rFont val="돋움"/>
        <family val="3"/>
        <charset val="129"/>
      </rPr>
      <t>번지</t>
    </r>
    <r>
      <rPr>
        <b/>
        <sz val="10"/>
        <rFont val="Arial"/>
        <family val="2"/>
      </rPr>
      <t>)</t>
    </r>
    <phoneticPr fontId="7" type="noConversion"/>
  </si>
  <si>
    <r>
      <t xml:space="preserve">DAU 4mA </t>
    </r>
    <r>
      <rPr>
        <b/>
        <sz val="10"/>
        <rFont val="돋움"/>
        <family val="3"/>
        <charset val="129"/>
      </rPr>
      <t>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대한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보상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값</t>
    </r>
    <phoneticPr fontId="7" type="noConversion"/>
  </si>
  <si>
    <r>
      <t xml:space="preserve">DAU 20mA </t>
    </r>
    <r>
      <rPr>
        <b/>
        <sz val="10"/>
        <rFont val="돋움"/>
        <family val="3"/>
        <charset val="129"/>
      </rPr>
      <t>에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대한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보상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값</t>
    </r>
    <phoneticPr fontId="7" type="noConversion"/>
  </si>
  <si>
    <t>HOLDING</t>
    <phoneticPr fontId="7" type="noConversion"/>
  </si>
  <si>
    <t>Back Up</t>
    <phoneticPr fontId="4" type="noConversion"/>
  </si>
  <si>
    <t>pw:1179</t>
    <phoneticPr fontId="4" type="noConversion"/>
  </si>
  <si>
    <t>bit</t>
    <phoneticPr fontId="4" type="noConversion"/>
  </si>
  <si>
    <t>6553~58982</t>
    <phoneticPr fontId="7" type="noConversion"/>
  </si>
  <si>
    <t>When span calibration done, new digital compensated value will be shown</t>
  </si>
  <si>
    <t>When zero calibration done, new digital compensated value will be shown ( Nominal: 0.5V:6,553, 4.5V:58,982)</t>
    <phoneticPr fontId="4" type="noConversion"/>
  </si>
  <si>
    <t>bit range</t>
    <phoneticPr fontId="4" type="noConversion"/>
  </si>
  <si>
    <t xml:space="preserve">Sensor Range change unit Bit (6553 ~ 58982 bit) :1001 </t>
    <phoneticPr fontId="7" type="noConversion"/>
  </si>
  <si>
    <t>Internal offset for span</t>
    <phoneticPr fontId="7" type="noConversion"/>
  </si>
  <si>
    <t>Channel Selector</t>
    <phoneticPr fontId="7" type="noConversion"/>
  </si>
  <si>
    <t>Sensor Range change unit Bit</t>
    <phoneticPr fontId="7" type="noConversion"/>
  </si>
  <si>
    <r>
      <rPr>
        <b/>
        <sz val="10"/>
        <rFont val="돋움"/>
        <family val="3"/>
        <charset val="129"/>
      </rPr>
      <t>센서</t>
    </r>
    <r>
      <rPr>
        <b/>
        <sz val="10"/>
        <rFont val="Arial"/>
        <family val="2"/>
      </rPr>
      <t xml:space="preserve"> range</t>
    </r>
    <r>
      <rPr>
        <b/>
        <sz val="10"/>
        <rFont val="돋움"/>
        <family val="3"/>
        <charset val="129"/>
      </rPr>
      <t>입력</t>
    </r>
    <r>
      <rPr>
        <b/>
        <sz val="10"/>
        <rFont val="Arial"/>
        <family val="2"/>
      </rPr>
      <t>(mbar)</t>
    </r>
    <phoneticPr fontId="7" type="noConversion"/>
  </si>
</sst>
</file>

<file path=xl/styles.xml><?xml version="1.0" encoding="utf-8"?>
<styleSheet xmlns="http://schemas.openxmlformats.org/spreadsheetml/2006/main">
  <numFmts count="7">
    <numFmt numFmtId="164" formatCode="_(* #,##0_);_(* \(#,##0\);_(* &quot;-&quot;_);_(@_)"/>
    <numFmt numFmtId="165" formatCode="#,##0_ ;[Red]\-#,##0\ "/>
    <numFmt numFmtId="166" formatCode="0.000_);[Red]\(0.000\)"/>
    <numFmt numFmtId="167" formatCode="0_ "/>
    <numFmt numFmtId="168" formatCode="0.00_ "/>
    <numFmt numFmtId="169" formatCode="0.0_);[Red]\(0.0\)"/>
    <numFmt numFmtId="170" formatCode="mm&quot;월&quot;\ dd&quot;일&quot;"/>
  </numFmts>
  <fonts count="27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8"/>
      <name val="돋움"/>
      <family val="3"/>
      <charset val="129"/>
    </font>
    <font>
      <sz val="11"/>
      <color theme="1"/>
      <name val="Arial"/>
      <family val="2"/>
    </font>
    <font>
      <b/>
      <sz val="13"/>
      <color theme="1"/>
      <name val="Arial"/>
      <family val="2"/>
    </font>
    <font>
      <sz val="8"/>
      <name val="맑은 고딕"/>
      <family val="3"/>
      <charset val="129"/>
    </font>
    <font>
      <b/>
      <i/>
      <sz val="9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theme="1"/>
      <name val="Arial Unicode MS"/>
      <family val="3"/>
      <charset val="129"/>
    </font>
    <font>
      <b/>
      <sz val="10"/>
      <color theme="1"/>
      <name val="Arial Unicode MS"/>
      <family val="3"/>
      <charset val="129"/>
    </font>
    <font>
      <sz val="10"/>
      <color rgb="FFFF0000"/>
      <name val="Arial Unicode MS"/>
      <family val="3"/>
      <charset val="129"/>
    </font>
    <font>
      <b/>
      <sz val="11"/>
      <color theme="1"/>
      <name val="Arial"/>
      <family val="2"/>
    </font>
    <font>
      <b/>
      <sz val="10"/>
      <name val="Arial"/>
      <family val="2"/>
    </font>
    <font>
      <b/>
      <sz val="10"/>
      <name val="돋움"/>
      <family val="3"/>
      <charset val="129"/>
    </font>
    <font>
      <sz val="20"/>
      <color rgb="FFFF0000"/>
      <name val="Arial"/>
      <family val="2"/>
    </font>
    <font>
      <sz val="12"/>
      <color theme="1"/>
      <name val="가을체"/>
      <family val="1"/>
      <charset val="129"/>
    </font>
    <font>
      <sz val="12"/>
      <name val="가을체"/>
      <family val="1"/>
      <charset val="129"/>
    </font>
    <font>
      <sz val="11"/>
      <color rgb="FFFF0000"/>
      <name val="Arial"/>
      <family val="2"/>
    </font>
    <font>
      <sz val="10"/>
      <color rgb="FFFF0000"/>
      <name val="돋움"/>
      <family val="3"/>
      <charset val="129"/>
    </font>
    <font>
      <b/>
      <sz val="9"/>
      <name val="Arial"/>
      <family val="2"/>
    </font>
    <font>
      <sz val="9"/>
      <name val="Arial"/>
      <family val="2"/>
    </font>
    <font>
      <sz val="10"/>
      <name val="돋움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6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55">
    <xf numFmtId="0" fontId="0" fillId="0" borderId="0" xfId="0"/>
    <xf numFmtId="165" fontId="2" fillId="4" borderId="5" xfId="1" applyNumberFormat="1" applyFont="1" applyFill="1" applyBorder="1" applyAlignment="1">
      <alignment horizontal="right" vertical="center"/>
    </xf>
    <xf numFmtId="0" fontId="5" fillId="0" borderId="0" xfId="0" applyFont="1" applyAlignment="1" applyProtection="1">
      <alignment horizontal="center" vertical="center"/>
    </xf>
    <xf numFmtId="166" fontId="5" fillId="0" borderId="0" xfId="0" applyNumberFormat="1" applyFont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  <protection locked="0"/>
    </xf>
    <xf numFmtId="0" fontId="13" fillId="1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14" fillId="12" borderId="0" xfId="0" applyFont="1" applyFill="1" applyAlignment="1">
      <alignment horizontal="left" vertical="center"/>
    </xf>
    <xf numFmtId="0" fontId="13" fillId="12" borderId="5" xfId="0" applyFont="1" applyFill="1" applyBorder="1" applyAlignment="1">
      <alignment horizontal="left" vertical="center"/>
    </xf>
    <xf numFmtId="0" fontId="13" fillId="12" borderId="26" xfId="0" applyFont="1" applyFill="1" applyBorder="1" applyAlignment="1">
      <alignment horizontal="left" vertical="center"/>
    </xf>
    <xf numFmtId="0" fontId="13" fillId="12" borderId="27" xfId="0" applyFont="1" applyFill="1" applyBorder="1" applyAlignment="1">
      <alignment horizontal="left" vertical="center"/>
    </xf>
    <xf numFmtId="0" fontId="13" fillId="12" borderId="28" xfId="0" applyFont="1" applyFill="1" applyBorder="1" applyAlignment="1">
      <alignment horizontal="left" vertical="center"/>
    </xf>
    <xf numFmtId="0" fontId="13" fillId="12" borderId="7" xfId="0" applyFont="1" applyFill="1" applyBorder="1" applyAlignment="1">
      <alignment horizontal="left" vertical="center"/>
    </xf>
    <xf numFmtId="0" fontId="13" fillId="2" borderId="28" xfId="0" applyFont="1" applyFill="1" applyBorder="1" applyAlignment="1">
      <alignment horizontal="left" vertical="center"/>
    </xf>
    <xf numFmtId="168" fontId="13" fillId="12" borderId="28" xfId="0" applyNumberFormat="1" applyFont="1" applyFill="1" applyBorder="1" applyAlignment="1">
      <alignment horizontal="left" vertical="center"/>
    </xf>
    <xf numFmtId="0" fontId="13" fillId="12" borderId="8" xfId="0" applyFont="1" applyFill="1" applyBorder="1" applyAlignment="1">
      <alignment horizontal="left" vertical="center"/>
    </xf>
    <xf numFmtId="0" fontId="13" fillId="12" borderId="29" xfId="0" applyFont="1" applyFill="1" applyBorder="1" applyAlignment="1">
      <alignment horizontal="left" vertical="center"/>
    </xf>
    <xf numFmtId="0" fontId="13" fillId="12" borderId="0" xfId="0" applyFont="1" applyFill="1" applyBorder="1" applyAlignment="1">
      <alignment horizontal="left" vertical="center"/>
    </xf>
    <xf numFmtId="0" fontId="13" fillId="2" borderId="29" xfId="0" applyFont="1" applyFill="1" applyBorder="1" applyAlignment="1">
      <alignment horizontal="left" vertical="center"/>
    </xf>
    <xf numFmtId="0" fontId="13" fillId="12" borderId="30" xfId="0" applyFont="1" applyFill="1" applyBorder="1" applyAlignment="1">
      <alignment horizontal="left" vertical="center"/>
    </xf>
    <xf numFmtId="0" fontId="15" fillId="12" borderId="0" xfId="0" applyFont="1" applyFill="1" applyBorder="1" applyAlignment="1">
      <alignment horizontal="left" vertical="center"/>
    </xf>
    <xf numFmtId="0" fontId="13" fillId="12" borderId="29" xfId="0" quotePrefix="1" applyFont="1" applyFill="1" applyBorder="1" applyAlignment="1">
      <alignment horizontal="left" vertical="center"/>
    </xf>
    <xf numFmtId="0" fontId="13" fillId="12" borderId="25" xfId="0" applyFont="1" applyFill="1" applyBorder="1" applyAlignment="1">
      <alignment horizontal="left" vertical="center"/>
    </xf>
    <xf numFmtId="0" fontId="13" fillId="12" borderId="9" xfId="0" applyFont="1" applyFill="1" applyBorder="1" applyAlignment="1">
      <alignment horizontal="left" vertical="center"/>
    </xf>
    <xf numFmtId="0" fontId="13" fillId="12" borderId="10" xfId="0" applyFont="1" applyFill="1" applyBorder="1" applyAlignment="1">
      <alignment horizontal="left" vertical="center"/>
    </xf>
    <xf numFmtId="169" fontId="5" fillId="0" borderId="0" xfId="0" applyNumberFormat="1" applyFont="1" applyAlignment="1" applyProtection="1">
      <alignment horizontal="center" vertical="center"/>
    </xf>
    <xf numFmtId="169" fontId="8" fillId="5" borderId="31" xfId="0" applyNumberFormat="1" applyFont="1" applyFill="1" applyBorder="1" applyAlignment="1" applyProtection="1">
      <alignment vertical="center"/>
    </xf>
    <xf numFmtId="169" fontId="8" fillId="5" borderId="27" xfId="0" applyNumberFormat="1" applyFont="1" applyFill="1" applyBorder="1" applyAlignment="1" applyProtection="1">
      <alignment vertical="center"/>
    </xf>
    <xf numFmtId="169" fontId="6" fillId="0" borderId="0" xfId="0" applyNumberFormat="1" applyFont="1" applyFill="1" applyBorder="1" applyAlignment="1" applyProtection="1">
      <alignment horizontal="center" vertical="center"/>
    </xf>
    <xf numFmtId="169" fontId="5" fillId="0" borderId="5" xfId="0" applyNumberFormat="1" applyFont="1" applyBorder="1" applyAlignment="1" applyProtection="1">
      <alignment horizontal="center" vertical="center"/>
    </xf>
    <xf numFmtId="169" fontId="9" fillId="0" borderId="5" xfId="0" applyNumberFormat="1" applyFont="1" applyBorder="1" applyAlignment="1" applyProtection="1">
      <alignment horizontal="center" vertical="center"/>
    </xf>
    <xf numFmtId="169" fontId="9" fillId="0" borderId="0" xfId="0" applyNumberFormat="1" applyFont="1" applyAlignment="1" applyProtection="1">
      <alignment horizontal="center" vertical="center"/>
    </xf>
    <xf numFmtId="169" fontId="9" fillId="3" borderId="1" xfId="0" applyNumberFormat="1" applyFont="1" applyFill="1" applyBorder="1" applyAlignment="1" applyProtection="1">
      <alignment horizontal="center" vertical="center"/>
    </xf>
    <xf numFmtId="169" fontId="9" fillId="3" borderId="2" xfId="0" applyNumberFormat="1" applyFont="1" applyFill="1" applyBorder="1" applyAlignment="1" applyProtection="1">
      <alignment horizontal="center" vertical="center"/>
    </xf>
    <xf numFmtId="169" fontId="9" fillId="3" borderId="3" xfId="0" applyNumberFormat="1" applyFont="1" applyFill="1" applyBorder="1" applyAlignment="1" applyProtection="1">
      <alignment horizontal="center" vertical="center"/>
    </xf>
    <xf numFmtId="169" fontId="9" fillId="0" borderId="11" xfId="0" applyNumberFormat="1" applyFont="1" applyBorder="1" applyAlignment="1" applyProtection="1">
      <alignment horizontal="center" vertical="center"/>
    </xf>
    <xf numFmtId="169" fontId="9" fillId="0" borderId="5" xfId="0" applyNumberFormat="1" applyFont="1" applyFill="1" applyBorder="1" applyAlignment="1" applyProtection="1">
      <alignment horizontal="center" vertical="center"/>
    </xf>
    <xf numFmtId="169" fontId="9" fillId="0" borderId="12" xfId="0" applyNumberFormat="1" applyFont="1" applyBorder="1" applyAlignment="1" applyProtection="1">
      <alignment horizontal="center" vertical="center"/>
    </xf>
    <xf numFmtId="169" fontId="9" fillId="0" borderId="5" xfId="1" applyNumberFormat="1" applyFont="1" applyBorder="1" applyAlignment="1" applyProtection="1">
      <alignment horizontal="center" vertical="center"/>
    </xf>
    <xf numFmtId="169" fontId="9" fillId="0" borderId="13" xfId="0" applyNumberFormat="1" applyFont="1" applyBorder="1" applyAlignment="1" applyProtection="1">
      <alignment horizontal="center" vertical="center"/>
    </xf>
    <xf numFmtId="169" fontId="9" fillId="0" borderId="6" xfId="0" applyNumberFormat="1" applyFont="1" applyBorder="1" applyAlignment="1" applyProtection="1">
      <alignment horizontal="center" vertical="center"/>
    </xf>
    <xf numFmtId="169" fontId="9" fillId="0" borderId="14" xfId="0" applyNumberFormat="1" applyFont="1" applyBorder="1" applyAlignment="1" applyProtection="1">
      <alignment horizontal="center" vertical="center"/>
    </xf>
    <xf numFmtId="169" fontId="9" fillId="0" borderId="0" xfId="0" applyNumberFormat="1" applyFont="1" applyBorder="1" applyAlignment="1" applyProtection="1">
      <alignment horizontal="center" vertical="center"/>
    </xf>
    <xf numFmtId="169" fontId="9" fillId="6" borderId="1" xfId="0" applyNumberFormat="1" applyFont="1" applyFill="1" applyBorder="1" applyAlignment="1" applyProtection="1">
      <alignment horizontal="center" vertical="center" wrapText="1"/>
    </xf>
    <xf numFmtId="169" fontId="9" fillId="6" borderId="4" xfId="0" applyNumberFormat="1" applyFont="1" applyFill="1" applyBorder="1" applyAlignment="1" applyProtection="1">
      <alignment horizontal="center" vertical="center" wrapText="1"/>
    </xf>
    <xf numFmtId="169" fontId="9" fillId="6" borderId="3" xfId="0" applyNumberFormat="1" applyFont="1" applyFill="1" applyBorder="1" applyAlignment="1" applyProtection="1">
      <alignment horizontal="center" vertical="center" wrapText="1"/>
    </xf>
    <xf numFmtId="169" fontId="9" fillId="6" borderId="15" xfId="0" applyNumberFormat="1" applyFont="1" applyFill="1" applyBorder="1" applyAlignment="1" applyProtection="1">
      <alignment horizontal="center" vertical="center" wrapText="1"/>
    </xf>
    <xf numFmtId="169" fontId="9" fillId="0" borderId="16" xfId="0" applyNumberFormat="1" applyFont="1" applyBorder="1" applyAlignment="1" applyProtection="1">
      <alignment horizontal="center" vertical="center"/>
    </xf>
    <xf numFmtId="169" fontId="9" fillId="0" borderId="17" xfId="0" applyNumberFormat="1" applyFont="1" applyBorder="1" applyAlignment="1" applyProtection="1">
      <alignment horizontal="center" vertical="center"/>
    </xf>
    <xf numFmtId="169" fontId="9" fillId="7" borderId="20" xfId="0" applyNumberFormat="1" applyFont="1" applyFill="1" applyBorder="1" applyAlignment="1" applyProtection="1">
      <alignment horizontal="center" vertical="center"/>
    </xf>
    <xf numFmtId="169" fontId="9" fillId="7" borderId="18" xfId="0" applyNumberFormat="1" applyFont="1" applyFill="1" applyBorder="1" applyAlignment="1" applyProtection="1">
      <alignment horizontal="center" vertical="center"/>
    </xf>
    <xf numFmtId="169" fontId="9" fillId="0" borderId="2" xfId="0" applyNumberFormat="1" applyFont="1" applyBorder="1" applyAlignment="1" applyProtection="1">
      <alignment horizontal="center" vertical="center"/>
    </xf>
    <xf numFmtId="169" fontId="9" fillId="0" borderId="3" xfId="0" applyNumberFormat="1" applyFont="1" applyBorder="1" applyAlignment="1" applyProtection="1">
      <alignment horizontal="center" vertical="center"/>
    </xf>
    <xf numFmtId="169" fontId="5" fillId="0" borderId="0" xfId="0" applyNumberFormat="1" applyFont="1" applyBorder="1" applyAlignment="1" applyProtection="1">
      <alignment horizontal="center" vertical="center"/>
      <protection locked="0"/>
    </xf>
    <xf numFmtId="169" fontId="5" fillId="0" borderId="0" xfId="0" applyNumberFormat="1" applyFont="1" applyBorder="1" applyAlignment="1" applyProtection="1">
      <alignment horizontal="center" vertical="center"/>
    </xf>
    <xf numFmtId="169" fontId="9" fillId="10" borderId="1" xfId="0" applyNumberFormat="1" applyFont="1" applyFill="1" applyBorder="1" applyAlignment="1" applyProtection="1">
      <alignment horizontal="center" vertical="center"/>
    </xf>
    <xf numFmtId="169" fontId="9" fillId="10" borderId="2" xfId="0" applyNumberFormat="1" applyFont="1" applyFill="1" applyBorder="1" applyAlignment="1" applyProtection="1">
      <alignment horizontal="center" vertical="center"/>
    </xf>
    <xf numFmtId="169" fontId="9" fillId="10" borderId="3" xfId="0" applyNumberFormat="1" applyFont="1" applyFill="1" applyBorder="1" applyAlignment="1" applyProtection="1">
      <alignment horizontal="center" vertical="center"/>
    </xf>
    <xf numFmtId="169" fontId="11" fillId="11" borderId="1" xfId="0" applyNumberFormat="1" applyFont="1" applyFill="1" applyBorder="1" applyAlignment="1" applyProtection="1">
      <alignment horizontal="center" vertical="center"/>
    </xf>
    <xf numFmtId="169" fontId="11" fillId="11" borderId="2" xfId="0" applyNumberFormat="1" applyFont="1" applyFill="1" applyBorder="1" applyAlignment="1" applyProtection="1">
      <alignment horizontal="center" vertical="center"/>
    </xf>
    <xf numFmtId="169" fontId="11" fillId="11" borderId="3" xfId="0" applyNumberFormat="1" applyFont="1" applyFill="1" applyBorder="1" applyAlignment="1" applyProtection="1">
      <alignment horizontal="center" vertical="center"/>
    </xf>
    <xf numFmtId="169" fontId="0" fillId="0" borderId="0" xfId="0" applyNumberFormat="1"/>
    <xf numFmtId="169" fontId="9" fillId="8" borderId="1" xfId="0" applyNumberFormat="1" applyFont="1" applyFill="1" applyBorder="1" applyAlignment="1" applyProtection="1">
      <alignment horizontal="center" vertical="center"/>
    </xf>
    <xf numFmtId="169" fontId="9" fillId="8" borderId="2" xfId="0" applyNumberFormat="1" applyFont="1" applyFill="1" applyBorder="1" applyAlignment="1" applyProtection="1">
      <alignment horizontal="center" vertical="center"/>
    </xf>
    <xf numFmtId="169" fontId="9" fillId="8" borderId="3" xfId="0" applyNumberFormat="1" applyFont="1" applyFill="1" applyBorder="1" applyAlignment="1" applyProtection="1">
      <alignment horizontal="center" vertical="center"/>
    </xf>
    <xf numFmtId="169" fontId="9" fillId="9" borderId="21" xfId="0" applyNumberFormat="1" applyFont="1" applyFill="1" applyBorder="1" applyAlignment="1" applyProtection="1">
      <alignment horizontal="center" vertical="center"/>
    </xf>
    <xf numFmtId="169" fontId="9" fillId="9" borderId="22" xfId="0" applyNumberFormat="1" applyFont="1" applyFill="1" applyBorder="1" applyAlignment="1" applyProtection="1">
      <alignment horizontal="center" vertical="center"/>
    </xf>
    <xf numFmtId="169" fontId="9" fillId="9" borderId="23" xfId="0" applyNumberFormat="1" applyFont="1" applyFill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</xf>
    <xf numFmtId="0" fontId="20" fillId="0" borderId="0" xfId="0" applyFont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169" fontId="0" fillId="0" borderId="5" xfId="0" applyNumberFormat="1" applyFont="1" applyBorder="1" applyAlignment="1" applyProtection="1">
      <alignment horizontal="center" vertical="center"/>
    </xf>
    <xf numFmtId="169" fontId="0" fillId="0" borderId="12" xfId="0" applyNumberFormat="1" applyFont="1" applyBorder="1" applyAlignment="1" applyProtection="1">
      <alignment horizontal="center" vertical="center"/>
    </xf>
    <xf numFmtId="169" fontId="9" fillId="14" borderId="1" xfId="0" applyNumberFormat="1" applyFont="1" applyFill="1" applyBorder="1" applyAlignment="1" applyProtection="1">
      <alignment horizontal="center" vertical="center"/>
      <protection locked="0"/>
    </xf>
    <xf numFmtId="169" fontId="9" fillId="14" borderId="11" xfId="0" applyNumberFormat="1" applyFont="1" applyFill="1" applyBorder="1" applyAlignment="1" applyProtection="1">
      <alignment horizontal="center" vertical="center"/>
      <protection locked="0"/>
    </xf>
    <xf numFmtId="169" fontId="9" fillId="14" borderId="13" xfId="0" applyNumberFormat="1" applyFont="1" applyFill="1" applyBorder="1" applyAlignment="1" applyProtection="1">
      <alignment horizontal="center" vertical="center"/>
      <protection locked="0"/>
    </xf>
    <xf numFmtId="0" fontId="20" fillId="3" borderId="20" xfId="0" applyFont="1" applyFill="1" applyBorder="1" applyAlignment="1" applyProtection="1">
      <alignment horizontal="center" vertical="center"/>
    </xf>
    <xf numFmtId="0" fontId="21" fillId="3" borderId="20" xfId="0" applyFont="1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165" fontId="2" fillId="18" borderId="5" xfId="1" applyNumberFormat="1" applyFont="1" applyFill="1" applyBorder="1" applyAlignment="1">
      <alignment horizontal="right" vertical="center"/>
    </xf>
    <xf numFmtId="0" fontId="2" fillId="18" borderId="5" xfId="1" applyNumberFormat="1" applyFont="1" applyFill="1" applyBorder="1" applyAlignment="1">
      <alignment horizontal="right" vertical="center"/>
    </xf>
    <xf numFmtId="165" fontId="2" fillId="18" borderId="31" xfId="1" applyNumberFormat="1" applyFont="1" applyFill="1" applyBorder="1" applyAlignment="1">
      <alignment horizontal="right" vertical="center"/>
    </xf>
    <xf numFmtId="0" fontId="3" fillId="16" borderId="5" xfId="0" applyFont="1" applyFill="1" applyBorder="1" applyAlignment="1">
      <alignment horizontal="center" vertical="center"/>
    </xf>
    <xf numFmtId="0" fontId="0" fillId="16" borderId="5" xfId="0" applyFill="1" applyBorder="1" applyAlignment="1">
      <alignment horizontal="center" vertical="center"/>
    </xf>
    <xf numFmtId="0" fontId="3" fillId="16" borderId="24" xfId="0" applyFont="1" applyFill="1" applyBorder="1" applyAlignment="1">
      <alignment horizontal="center" vertical="center"/>
    </xf>
    <xf numFmtId="0" fontId="3" fillId="16" borderId="25" xfId="0" applyFont="1" applyFill="1" applyBorder="1" applyAlignment="1">
      <alignment horizontal="center" vertical="center"/>
    </xf>
    <xf numFmtId="0" fontId="3" fillId="16" borderId="32" xfId="0" applyFont="1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 wrapText="1"/>
    </xf>
    <xf numFmtId="0" fontId="0" fillId="17" borderId="5" xfId="0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67" fontId="12" fillId="2" borderId="28" xfId="0" applyNumberFormat="1" applyFont="1" applyFill="1" applyBorder="1" applyAlignment="1">
      <alignment horizontal="center" vertical="center"/>
    </xf>
    <xf numFmtId="0" fontId="0" fillId="15" borderId="0" xfId="0" applyFill="1"/>
    <xf numFmtId="0" fontId="12" fillId="15" borderId="0" xfId="0" applyFont="1" applyFill="1" applyBorder="1" applyAlignment="1">
      <alignment horizontal="center" vertical="center"/>
    </xf>
    <xf numFmtId="169" fontId="9" fillId="14" borderId="15" xfId="0" applyNumberFormat="1" applyFont="1" applyFill="1" applyBorder="1" applyAlignment="1" applyProtection="1">
      <alignment horizontal="center" vertical="center"/>
      <protection locked="0"/>
    </xf>
    <xf numFmtId="169" fontId="9" fillId="14" borderId="27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3" fillId="20" borderId="0" xfId="0" applyFont="1" applyFill="1"/>
    <xf numFmtId="0" fontId="0" fillId="20" borderId="0" xfId="0" applyFill="1"/>
    <xf numFmtId="0" fontId="0" fillId="20" borderId="5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0" fillId="20" borderId="0" xfId="0" applyFont="1" applyFill="1" applyAlignment="1">
      <alignment horizontal="center" vertical="center"/>
    </xf>
    <xf numFmtId="165" fontId="0" fillId="20" borderId="0" xfId="0" applyNumberFormat="1" applyFont="1" applyFill="1" applyAlignment="1">
      <alignment horizontal="center" vertical="center"/>
    </xf>
    <xf numFmtId="0" fontId="0" fillId="13" borderId="0" xfId="0" applyFill="1" applyBorder="1" applyAlignment="1">
      <alignment horizontal="center" vertical="center" wrapText="1"/>
    </xf>
    <xf numFmtId="0" fontId="3" fillId="21" borderId="2" xfId="0" applyFont="1" applyFill="1" applyBorder="1" applyAlignment="1">
      <alignment horizontal="center" vertical="center"/>
    </xf>
    <xf numFmtId="0" fontId="3" fillId="21" borderId="4" xfId="0" applyFont="1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17" fillId="6" borderId="33" xfId="0" applyFont="1" applyFill="1" applyBorder="1" applyAlignment="1">
      <alignment vertical="center"/>
    </xf>
    <xf numFmtId="0" fontId="12" fillId="6" borderId="34" xfId="0" applyFont="1" applyFill="1" applyBorder="1" applyAlignment="1">
      <alignment horizontal="center" vertical="center"/>
    </xf>
    <xf numFmtId="167" fontId="22" fillId="2" borderId="5" xfId="0" applyNumberFormat="1" applyFont="1" applyFill="1" applyBorder="1" applyAlignment="1">
      <alignment horizontal="center" vertical="center"/>
    </xf>
    <xf numFmtId="170" fontId="0" fillId="0" borderId="0" xfId="0" applyNumberFormat="1"/>
    <xf numFmtId="0" fontId="0" fillId="2" borderId="0" xfId="0" applyFill="1"/>
    <xf numFmtId="22" fontId="12" fillId="0" borderId="0" xfId="0" applyNumberFormat="1" applyFont="1" applyAlignment="1"/>
    <xf numFmtId="167" fontId="3" fillId="20" borderId="0" xfId="0" applyNumberFormat="1" applyFont="1" applyFill="1" applyAlignment="1">
      <alignment horizontal="center" vertical="center"/>
    </xf>
    <xf numFmtId="0" fontId="0" fillId="0" borderId="0" xfId="0" applyBorder="1" applyAlignment="1">
      <alignment vertical="center"/>
    </xf>
    <xf numFmtId="0" fontId="17" fillId="12" borderId="0" xfId="2" applyFont="1" applyFill="1" applyBorder="1" applyAlignment="1" applyProtection="1">
      <alignment vertical="center"/>
      <protection hidden="1"/>
    </xf>
    <xf numFmtId="0" fontId="13" fillId="12" borderId="36" xfId="0" applyFont="1" applyFill="1" applyBorder="1" applyAlignment="1">
      <alignment horizontal="left" vertical="center"/>
    </xf>
    <xf numFmtId="0" fontId="13" fillId="12" borderId="32" xfId="0" applyFont="1" applyFill="1" applyBorder="1" applyAlignment="1">
      <alignment horizontal="left" vertical="center"/>
    </xf>
    <xf numFmtId="0" fontId="24" fillId="12" borderId="0" xfId="2" applyFont="1" applyFill="1" applyBorder="1" applyAlignment="1" applyProtection="1">
      <alignment vertical="center"/>
      <protection hidden="1"/>
    </xf>
    <xf numFmtId="0" fontId="25" fillId="12" borderId="36" xfId="2" applyFont="1" applyFill="1" applyBorder="1" applyAlignment="1" applyProtection="1">
      <alignment vertical="center"/>
      <protection hidden="1"/>
    </xf>
    <xf numFmtId="0" fontId="25" fillId="12" borderId="0" xfId="2" applyFont="1" applyFill="1" applyBorder="1" applyAlignment="1" applyProtection="1">
      <alignment vertical="center"/>
      <protection hidden="1"/>
    </xf>
    <xf numFmtId="0" fontId="19" fillId="19" borderId="0" xfId="0" applyFont="1" applyFill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12" fillId="20" borderId="35" xfId="0" applyFont="1" applyFill="1" applyBorder="1" applyAlignment="1">
      <alignment horizontal="center"/>
    </xf>
    <xf numFmtId="0" fontId="12" fillId="20" borderId="0" xfId="0" applyFont="1" applyFill="1" applyAlignment="1">
      <alignment horizontal="center"/>
    </xf>
    <xf numFmtId="169" fontId="6" fillId="2" borderId="0" xfId="0" applyNumberFormat="1" applyFont="1" applyFill="1" applyBorder="1" applyAlignment="1" applyProtection="1">
      <alignment horizontal="center" vertical="center"/>
    </xf>
    <xf numFmtId="169" fontId="9" fillId="0" borderId="18" xfId="0" applyNumberFormat="1" applyFont="1" applyBorder="1" applyAlignment="1" applyProtection="1">
      <alignment horizontal="center" vertical="center"/>
    </xf>
    <xf numFmtId="169" fontId="9" fillId="0" borderId="19" xfId="0" applyNumberFormat="1" applyFont="1" applyBorder="1" applyAlignment="1" applyProtection="1">
      <alignment horizontal="center" vertical="center"/>
    </xf>
    <xf numFmtId="169" fontId="10" fillId="0" borderId="18" xfId="0" applyNumberFormat="1" applyFont="1" applyBorder="1" applyAlignment="1" applyProtection="1">
      <alignment horizontal="center" vertical="center"/>
    </xf>
    <xf numFmtId="169" fontId="10" fillId="0" borderId="19" xfId="0" applyNumberFormat="1" applyFont="1" applyBorder="1" applyAlignment="1" applyProtection="1">
      <alignment horizontal="center" vertical="center"/>
    </xf>
    <xf numFmtId="0" fontId="16" fillId="12" borderId="31" xfId="0" applyFont="1" applyFill="1" applyBorder="1" applyAlignment="1">
      <alignment horizontal="center" vertical="top"/>
    </xf>
    <xf numFmtId="0" fontId="16" fillId="12" borderId="27" xfId="0" applyFont="1" applyFill="1" applyBorder="1" applyAlignment="1">
      <alignment horizontal="center" vertical="top"/>
    </xf>
    <xf numFmtId="0" fontId="16" fillId="12" borderId="31" xfId="0" applyFont="1" applyFill="1" applyBorder="1" applyAlignment="1">
      <alignment horizontal="center" vertical="center"/>
    </xf>
    <xf numFmtId="0" fontId="16" fillId="12" borderId="26" xfId="0" applyFont="1" applyFill="1" applyBorder="1" applyAlignment="1">
      <alignment horizontal="center" vertical="center"/>
    </xf>
    <xf numFmtId="0" fontId="16" fillId="12" borderId="27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6" fillId="12" borderId="5" xfId="0" applyFont="1" applyFill="1" applyBorder="1" applyAlignment="1">
      <alignment horizontal="center" vertical="center"/>
    </xf>
    <xf numFmtId="0" fontId="17" fillId="2" borderId="5" xfId="2" applyFont="1" applyFill="1" applyBorder="1" applyAlignment="1" applyProtection="1">
      <alignment horizontal="center" vertical="center"/>
      <protection hidden="1"/>
    </xf>
    <xf numFmtId="0" fontId="17" fillId="12" borderId="5" xfId="2" applyFont="1" applyFill="1" applyBorder="1" applyAlignment="1" applyProtection="1">
      <alignment horizontal="center" vertical="center"/>
      <protection hidden="1"/>
    </xf>
    <xf numFmtId="0" fontId="18" fillId="12" borderId="5" xfId="2" applyFont="1" applyFill="1" applyBorder="1" applyAlignment="1" applyProtection="1">
      <alignment horizontal="center" vertical="center"/>
      <protection hidden="1"/>
    </xf>
    <xf numFmtId="0" fontId="14" fillId="13" borderId="5" xfId="0" applyFont="1" applyFill="1" applyBorder="1" applyAlignment="1">
      <alignment horizontal="center" vertical="center"/>
    </xf>
    <xf numFmtId="0" fontId="17" fillId="13" borderId="5" xfId="2" applyFont="1" applyFill="1" applyBorder="1" applyAlignment="1" applyProtection="1">
      <alignment horizontal="center" vertical="center"/>
      <protection hidden="1"/>
    </xf>
    <xf numFmtId="0" fontId="14" fillId="13" borderId="31" xfId="0" applyFont="1" applyFill="1" applyBorder="1" applyAlignment="1">
      <alignment horizontal="center" vertical="center"/>
    </xf>
    <xf numFmtId="0" fontId="14" fillId="13" borderId="27" xfId="0" applyFont="1" applyFill="1" applyBorder="1" applyAlignment="1">
      <alignment horizontal="center" vertical="center"/>
    </xf>
    <xf numFmtId="0" fontId="17" fillId="13" borderId="31" xfId="2" applyFont="1" applyFill="1" applyBorder="1" applyAlignment="1" applyProtection="1">
      <alignment horizontal="center" vertical="center"/>
      <protection hidden="1"/>
    </xf>
    <xf numFmtId="0" fontId="17" fillId="13" borderId="26" xfId="2" applyFont="1" applyFill="1" applyBorder="1" applyAlignment="1" applyProtection="1">
      <alignment horizontal="center" vertical="center"/>
      <protection hidden="1"/>
    </xf>
    <xf numFmtId="0" fontId="17" fillId="13" borderId="27" xfId="2" applyFont="1" applyFill="1" applyBorder="1" applyAlignment="1" applyProtection="1">
      <alignment horizontal="center" vertical="center"/>
      <protection hidden="1"/>
    </xf>
    <xf numFmtId="0" fontId="17" fillId="12" borderId="31" xfId="2" applyFont="1" applyFill="1" applyBorder="1" applyAlignment="1" applyProtection="1">
      <alignment horizontal="center" vertical="center"/>
      <protection hidden="1"/>
    </xf>
    <xf numFmtId="0" fontId="17" fillId="12" borderId="26" xfId="2" applyFont="1" applyFill="1" applyBorder="1" applyAlignment="1" applyProtection="1">
      <alignment horizontal="center" vertical="center"/>
      <protection hidden="1"/>
    </xf>
    <xf numFmtId="0" fontId="17" fillId="12" borderId="27" xfId="2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Alignment="1">
      <alignment horizontal="center"/>
    </xf>
    <xf numFmtId="22" fontId="12" fillId="0" borderId="0" xfId="0" applyNumberFormat="1" applyFont="1" applyAlignment="1">
      <alignment horizontal="center"/>
    </xf>
  </cellXfs>
  <cellStyles count="3">
    <cellStyle name="Normal" xfId="0" builtinId="0"/>
    <cellStyle name="Tusenskille [0]" xfId="1" builtinId="6"/>
    <cellStyle name="표준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E2DD6BBF-109D-4CFD-B089-476BBF5B1D4C}" ax:persistence="persistPropertyBag">
  <ax:ocxPr ax:name="_Version" ax:value="65536"/>
  <ax:ocxPr ax:name="_ExtentX" ax:value="1693"/>
  <ax:ocxPr ax:name="_ExtentY" ax:value="1138"/>
  <ax:ocxPr ax:name="_StockProps" ax:value="0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10"/>
  <sheetViews>
    <sheetView tabSelected="1" workbookViewId="0">
      <selection activeCell="G4" sqref="G4"/>
    </sheetView>
  </sheetViews>
  <sheetFormatPr baseColWidth="10" defaultColWidth="9.140625" defaultRowHeight="20.100000000000001" customHeight="1"/>
  <cols>
    <col min="1" max="1" width="8" style="98" customWidth="1"/>
    <col min="2" max="16" width="8" style="99" customWidth="1"/>
    <col min="17" max="17" width="9.28515625" style="99" bestFit="1" customWidth="1"/>
    <col min="18" max="19" width="11.7109375" style="99" customWidth="1"/>
    <col min="20" max="16384" width="9.140625" style="99"/>
  </cols>
  <sheetData>
    <row r="1" spans="1:21" ht="20.100000000000001" customHeight="1">
      <c r="B1" s="124" t="s">
        <v>14</v>
      </c>
      <c r="C1" s="124"/>
      <c r="D1" s="124"/>
      <c r="E1" s="123" t="s">
        <v>197</v>
      </c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S1" s="100" t="s">
        <v>152</v>
      </c>
    </row>
    <row r="2" spans="1:21" ht="20.100000000000001" customHeight="1">
      <c r="B2" s="93"/>
      <c r="C2" s="94">
        <v>3001</v>
      </c>
      <c r="D2" s="9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S2" s="92">
        <f>'Uint Converter'!$D$31</f>
        <v>32331.029394701218</v>
      </c>
    </row>
    <row r="3" spans="1:21" s="101" customFormat="1" ht="29.25" customHeight="1">
      <c r="A3" s="89" t="s">
        <v>1</v>
      </c>
      <c r="B3" s="89" t="s">
        <v>2</v>
      </c>
      <c r="C3" s="89" t="s">
        <v>3</v>
      </c>
      <c r="D3" s="89" t="s">
        <v>4</v>
      </c>
      <c r="E3" s="89" t="s">
        <v>0</v>
      </c>
      <c r="F3" s="89" t="s">
        <v>8</v>
      </c>
      <c r="G3" s="89" t="s">
        <v>5</v>
      </c>
      <c r="H3" s="89" t="s">
        <v>9</v>
      </c>
      <c r="I3" s="89" t="s">
        <v>6</v>
      </c>
      <c r="J3" s="89" t="s">
        <v>13</v>
      </c>
      <c r="K3" s="89" t="s">
        <v>7</v>
      </c>
      <c r="L3" s="89" t="s">
        <v>12</v>
      </c>
      <c r="M3" s="89" t="s">
        <v>10</v>
      </c>
      <c r="N3" s="89" t="s">
        <v>15</v>
      </c>
      <c r="O3" s="89" t="s">
        <v>194</v>
      </c>
      <c r="P3" s="89" t="s">
        <v>191</v>
      </c>
      <c r="Q3" s="80"/>
      <c r="R3" s="90" t="s">
        <v>150</v>
      </c>
      <c r="S3" s="90" t="s">
        <v>157</v>
      </c>
    </row>
    <row r="4" spans="1:21" s="102" customFormat="1" ht="15" customHeight="1">
      <c r="A4" s="86">
        <v>201</v>
      </c>
      <c r="B4" s="87">
        <v>301</v>
      </c>
      <c r="C4" s="87">
        <v>401</v>
      </c>
      <c r="D4" s="87">
        <v>501</v>
      </c>
      <c r="E4" s="87">
        <v>601</v>
      </c>
      <c r="F4" s="87">
        <v>701</v>
      </c>
      <c r="G4" s="87">
        <v>801</v>
      </c>
      <c r="H4" s="87">
        <v>901</v>
      </c>
      <c r="I4" s="87">
        <v>1001</v>
      </c>
      <c r="J4" s="87">
        <v>1101</v>
      </c>
      <c r="K4" s="87">
        <v>2501</v>
      </c>
      <c r="L4" s="87">
        <v>2601</v>
      </c>
      <c r="M4" s="87">
        <v>2701</v>
      </c>
      <c r="N4" s="88">
        <v>2801</v>
      </c>
      <c r="O4" s="88">
        <v>2901</v>
      </c>
      <c r="P4" s="88">
        <v>3001</v>
      </c>
      <c r="Q4" s="84" t="s">
        <v>156</v>
      </c>
      <c r="R4" s="91">
        <v>6553</v>
      </c>
      <c r="S4" s="111">
        <f>'Uint Converter'!$C$18</f>
        <v>18720.072749999996</v>
      </c>
      <c r="T4" s="102">
        <v>18390</v>
      </c>
      <c r="U4" s="115">
        <f>S4-T4</f>
        <v>330.07274999999572</v>
      </c>
    </row>
    <row r="5" spans="1:21" s="103" customFormat="1" ht="15" customHeight="1">
      <c r="A5" s="81">
        <v>0</v>
      </c>
      <c r="B5" s="81">
        <v>0</v>
      </c>
      <c r="C5" s="81">
        <v>1025</v>
      </c>
      <c r="D5" s="81">
        <v>0</v>
      </c>
      <c r="E5" s="81">
        <v>0</v>
      </c>
      <c r="F5" s="81">
        <v>0</v>
      </c>
      <c r="G5" s="81">
        <v>0</v>
      </c>
      <c r="H5" s="81">
        <v>94</v>
      </c>
      <c r="I5" s="81">
        <v>8000</v>
      </c>
      <c r="J5" s="81">
        <v>0</v>
      </c>
      <c r="K5" s="82">
        <v>0</v>
      </c>
      <c r="L5" s="81">
        <v>6540</v>
      </c>
      <c r="M5" s="81">
        <v>0</v>
      </c>
      <c r="N5" s="83">
        <v>0</v>
      </c>
      <c r="O5" s="83">
        <v>0</v>
      </c>
      <c r="P5" s="83">
        <v>18720</v>
      </c>
      <c r="Q5" s="85" t="s">
        <v>158</v>
      </c>
      <c r="R5" s="81">
        <f>$R$4-L5</f>
        <v>13</v>
      </c>
      <c r="S5" s="81">
        <f>$S$4-L5</f>
        <v>12180.072749999996</v>
      </c>
    </row>
    <row r="6" spans="1:21" s="103" customFormat="1" ht="15" customHeight="1">
      <c r="A6" s="81">
        <v>0</v>
      </c>
      <c r="B6" s="81">
        <v>0</v>
      </c>
      <c r="C6" s="81">
        <v>1025</v>
      </c>
      <c r="D6" s="81">
        <v>0</v>
      </c>
      <c r="E6" s="81">
        <v>0</v>
      </c>
      <c r="F6" s="81">
        <v>0</v>
      </c>
      <c r="G6" s="81">
        <v>0</v>
      </c>
      <c r="H6" s="81">
        <v>94</v>
      </c>
      <c r="I6" s="81">
        <v>8000</v>
      </c>
      <c r="J6" s="81">
        <v>0</v>
      </c>
      <c r="K6" s="82">
        <v>0</v>
      </c>
      <c r="L6" s="81">
        <v>6548</v>
      </c>
      <c r="M6" s="81">
        <v>0</v>
      </c>
      <c r="N6" s="83">
        <v>0</v>
      </c>
      <c r="O6" s="83">
        <v>0</v>
      </c>
      <c r="P6" s="83">
        <v>18720</v>
      </c>
      <c r="Q6" s="85" t="s">
        <v>130</v>
      </c>
      <c r="R6" s="81">
        <f t="shared" ref="R6:R36" si="0">$R$4-L6</f>
        <v>5</v>
      </c>
      <c r="S6" s="81">
        <f t="shared" ref="S6:S23" si="1">$S$4-L6</f>
        <v>12172.072749999996</v>
      </c>
    </row>
    <row r="7" spans="1:21" s="103" customFormat="1" ht="15" customHeight="1">
      <c r="A7" s="81">
        <v>0</v>
      </c>
      <c r="B7" s="81">
        <v>100</v>
      </c>
      <c r="C7" s="81">
        <v>1025</v>
      </c>
      <c r="D7" s="81">
        <v>100</v>
      </c>
      <c r="E7" s="81">
        <v>0</v>
      </c>
      <c r="F7" s="81">
        <v>0</v>
      </c>
      <c r="G7" s="81">
        <v>0</v>
      </c>
      <c r="H7" s="81">
        <v>94</v>
      </c>
      <c r="I7" s="81">
        <v>8000</v>
      </c>
      <c r="J7" s="81">
        <v>0</v>
      </c>
      <c r="K7" s="82">
        <v>0</v>
      </c>
      <c r="L7" s="81">
        <v>6545</v>
      </c>
      <c r="M7" s="81">
        <v>0</v>
      </c>
      <c r="N7" s="83">
        <v>0</v>
      </c>
      <c r="O7" s="83">
        <v>0</v>
      </c>
      <c r="P7" s="83">
        <v>18720</v>
      </c>
      <c r="Q7" s="85" t="s">
        <v>131</v>
      </c>
      <c r="R7" s="81">
        <f t="shared" si="0"/>
        <v>8</v>
      </c>
      <c r="S7" s="81">
        <f t="shared" si="1"/>
        <v>12175.072749999996</v>
      </c>
    </row>
    <row r="8" spans="1:21" s="103" customFormat="1" ht="15" customHeight="1">
      <c r="A8" s="81">
        <v>0</v>
      </c>
      <c r="B8" s="81">
        <v>100</v>
      </c>
      <c r="C8" s="81">
        <v>1025</v>
      </c>
      <c r="D8" s="81">
        <v>100</v>
      </c>
      <c r="E8" s="81">
        <v>0</v>
      </c>
      <c r="F8" s="81">
        <v>0</v>
      </c>
      <c r="G8" s="81">
        <v>0</v>
      </c>
      <c r="H8" s="81">
        <v>99</v>
      </c>
      <c r="I8" s="81">
        <v>8000</v>
      </c>
      <c r="J8" s="81">
        <v>0</v>
      </c>
      <c r="K8" s="82">
        <v>0</v>
      </c>
      <c r="L8" s="81">
        <v>6531</v>
      </c>
      <c r="M8" s="81">
        <v>0</v>
      </c>
      <c r="N8" s="83">
        <v>0</v>
      </c>
      <c r="O8" s="83">
        <v>0</v>
      </c>
      <c r="P8" s="83">
        <v>18720</v>
      </c>
      <c r="Q8" s="85" t="s">
        <v>132</v>
      </c>
      <c r="R8" s="81">
        <f t="shared" si="0"/>
        <v>22</v>
      </c>
      <c r="S8" s="81">
        <f t="shared" si="1"/>
        <v>12189.072749999996</v>
      </c>
    </row>
    <row r="9" spans="1:21" s="103" customFormat="1" ht="15" customHeight="1">
      <c r="A9" s="81">
        <v>0</v>
      </c>
      <c r="B9" s="81">
        <v>100</v>
      </c>
      <c r="C9" s="81">
        <v>1025</v>
      </c>
      <c r="D9" s="81">
        <v>100</v>
      </c>
      <c r="E9" s="81">
        <v>0</v>
      </c>
      <c r="F9" s="81">
        <v>0</v>
      </c>
      <c r="G9" s="81">
        <v>0</v>
      </c>
      <c r="H9" s="81">
        <v>96</v>
      </c>
      <c r="I9" s="81">
        <v>8000</v>
      </c>
      <c r="J9" s="81">
        <v>0</v>
      </c>
      <c r="K9" s="82">
        <v>0</v>
      </c>
      <c r="L9" s="81">
        <v>6542</v>
      </c>
      <c r="M9" s="81">
        <v>0</v>
      </c>
      <c r="N9" s="83">
        <v>0</v>
      </c>
      <c r="O9" s="83">
        <v>0</v>
      </c>
      <c r="P9" s="83">
        <v>18720</v>
      </c>
      <c r="Q9" s="85" t="s">
        <v>133</v>
      </c>
      <c r="R9" s="81">
        <f t="shared" si="0"/>
        <v>11</v>
      </c>
      <c r="S9" s="81">
        <f t="shared" si="1"/>
        <v>12178.072749999996</v>
      </c>
    </row>
    <row r="10" spans="1:21" s="103" customFormat="1" ht="15" customHeight="1">
      <c r="A10" s="81">
        <v>0</v>
      </c>
      <c r="B10" s="81">
        <v>100</v>
      </c>
      <c r="C10" s="81">
        <v>1025</v>
      </c>
      <c r="D10" s="81">
        <v>100</v>
      </c>
      <c r="E10" s="81">
        <v>0</v>
      </c>
      <c r="F10" s="81">
        <v>0</v>
      </c>
      <c r="G10" s="81">
        <v>0</v>
      </c>
      <c r="H10" s="81">
        <v>96</v>
      </c>
      <c r="I10" s="81">
        <v>8000</v>
      </c>
      <c r="J10" s="81">
        <v>0</v>
      </c>
      <c r="K10" s="82">
        <v>0</v>
      </c>
      <c r="L10" s="81">
        <v>6551</v>
      </c>
      <c r="M10" s="81">
        <v>0</v>
      </c>
      <c r="N10" s="83">
        <v>0</v>
      </c>
      <c r="O10" s="83">
        <v>0</v>
      </c>
      <c r="P10" s="83">
        <v>18720</v>
      </c>
      <c r="Q10" s="85" t="s">
        <v>134</v>
      </c>
      <c r="R10" s="81">
        <f t="shared" si="0"/>
        <v>2</v>
      </c>
      <c r="S10" s="81">
        <f t="shared" si="1"/>
        <v>12169.072749999996</v>
      </c>
    </row>
    <row r="11" spans="1:21" s="103" customFormat="1" ht="15" customHeight="1">
      <c r="A11" s="81">
        <v>0</v>
      </c>
      <c r="B11" s="81">
        <v>100</v>
      </c>
      <c r="C11" s="81">
        <v>1025</v>
      </c>
      <c r="D11" s="81">
        <v>100</v>
      </c>
      <c r="E11" s="81">
        <v>0</v>
      </c>
      <c r="F11" s="81">
        <v>0</v>
      </c>
      <c r="G11" s="81">
        <v>0</v>
      </c>
      <c r="H11" s="81">
        <v>94</v>
      </c>
      <c r="I11" s="81">
        <v>8000</v>
      </c>
      <c r="J11" s="81">
        <v>0</v>
      </c>
      <c r="K11" s="82">
        <v>0</v>
      </c>
      <c r="L11" s="81">
        <v>6522</v>
      </c>
      <c r="M11" s="81">
        <v>0</v>
      </c>
      <c r="N11" s="83">
        <v>0</v>
      </c>
      <c r="O11" s="83">
        <v>0</v>
      </c>
      <c r="P11" s="83">
        <v>18720</v>
      </c>
      <c r="Q11" s="85" t="s">
        <v>135</v>
      </c>
      <c r="R11" s="81">
        <f t="shared" si="0"/>
        <v>31</v>
      </c>
      <c r="S11" s="81">
        <f t="shared" si="1"/>
        <v>12198.072749999996</v>
      </c>
    </row>
    <row r="12" spans="1:21" s="103" customFormat="1" ht="15" customHeight="1">
      <c r="A12" s="81">
        <v>0</v>
      </c>
      <c r="B12" s="81">
        <v>100</v>
      </c>
      <c r="C12" s="81">
        <v>1025</v>
      </c>
      <c r="D12" s="81">
        <v>100</v>
      </c>
      <c r="E12" s="81">
        <v>0</v>
      </c>
      <c r="F12" s="81">
        <v>0</v>
      </c>
      <c r="G12" s="81">
        <v>0</v>
      </c>
      <c r="H12" s="81">
        <v>92</v>
      </c>
      <c r="I12" s="81">
        <v>8000</v>
      </c>
      <c r="J12" s="81">
        <v>0</v>
      </c>
      <c r="K12" s="82">
        <v>0</v>
      </c>
      <c r="L12" s="81">
        <v>6541</v>
      </c>
      <c r="M12" s="81">
        <v>0</v>
      </c>
      <c r="N12" s="83">
        <v>0</v>
      </c>
      <c r="O12" s="83">
        <v>0</v>
      </c>
      <c r="P12" s="83">
        <v>18720</v>
      </c>
      <c r="Q12" s="85" t="s">
        <v>136</v>
      </c>
      <c r="R12" s="81">
        <f t="shared" si="0"/>
        <v>12</v>
      </c>
      <c r="S12" s="81">
        <f t="shared" si="1"/>
        <v>12179.072749999996</v>
      </c>
    </row>
    <row r="13" spans="1:21" s="103" customFormat="1" ht="15" customHeight="1">
      <c r="A13" s="81">
        <v>0</v>
      </c>
      <c r="B13" s="81">
        <v>7987</v>
      </c>
      <c r="C13" s="81">
        <v>1025</v>
      </c>
      <c r="D13" s="81">
        <v>100</v>
      </c>
      <c r="E13" s="81">
        <v>0</v>
      </c>
      <c r="F13" s="81">
        <v>0</v>
      </c>
      <c r="G13" s="81">
        <v>0</v>
      </c>
      <c r="H13" s="81">
        <v>109</v>
      </c>
      <c r="I13" s="81">
        <v>8000</v>
      </c>
      <c r="J13" s="81">
        <v>0</v>
      </c>
      <c r="K13" s="82">
        <v>7928</v>
      </c>
      <c r="L13" s="81">
        <v>18611</v>
      </c>
      <c r="M13" s="81">
        <v>221</v>
      </c>
      <c r="N13" s="83">
        <v>0</v>
      </c>
      <c r="O13" s="83">
        <v>0</v>
      </c>
      <c r="P13" s="83">
        <v>18720</v>
      </c>
      <c r="Q13" s="85" t="s">
        <v>137</v>
      </c>
      <c r="R13" s="81">
        <f t="shared" si="0"/>
        <v>-12058</v>
      </c>
      <c r="S13" s="81">
        <f t="shared" si="1"/>
        <v>109.07274999999572</v>
      </c>
    </row>
    <row r="14" spans="1:21" s="103" customFormat="1" ht="15" customHeight="1">
      <c r="A14" s="81">
        <v>1</v>
      </c>
      <c r="B14" s="81">
        <v>100</v>
      </c>
      <c r="C14" s="81">
        <v>1025</v>
      </c>
      <c r="D14" s="81">
        <v>100</v>
      </c>
      <c r="E14" s="81">
        <v>0</v>
      </c>
      <c r="F14" s="81">
        <v>0</v>
      </c>
      <c r="G14" s="81">
        <v>0</v>
      </c>
      <c r="H14" s="81">
        <v>104</v>
      </c>
      <c r="I14" s="81">
        <v>8000</v>
      </c>
      <c r="J14" s="81">
        <v>0</v>
      </c>
      <c r="K14" s="82">
        <v>0</v>
      </c>
      <c r="L14" s="81">
        <v>571</v>
      </c>
      <c r="M14" s="81">
        <v>230</v>
      </c>
      <c r="N14" s="83">
        <v>0</v>
      </c>
      <c r="O14" s="83">
        <v>0</v>
      </c>
      <c r="P14" s="83">
        <v>18720</v>
      </c>
      <c r="Q14" s="85" t="s">
        <v>138</v>
      </c>
      <c r="R14" s="81">
        <f t="shared" si="0"/>
        <v>5982</v>
      </c>
      <c r="S14" s="81">
        <f t="shared" si="1"/>
        <v>18149.072749999996</v>
      </c>
    </row>
    <row r="15" spans="1:21" s="103" customFormat="1" ht="15" customHeight="1">
      <c r="A15" s="81">
        <v>0</v>
      </c>
      <c r="B15" s="81">
        <v>100</v>
      </c>
      <c r="C15" s="81">
        <v>1025</v>
      </c>
      <c r="D15" s="81">
        <v>100</v>
      </c>
      <c r="E15" s="81">
        <v>0</v>
      </c>
      <c r="F15" s="81">
        <v>0</v>
      </c>
      <c r="G15" s="81">
        <v>0</v>
      </c>
      <c r="H15" s="81">
        <v>111</v>
      </c>
      <c r="I15" s="81">
        <v>8000</v>
      </c>
      <c r="J15" s="81">
        <v>0</v>
      </c>
      <c r="K15" s="82">
        <v>0</v>
      </c>
      <c r="L15" s="81">
        <v>6537</v>
      </c>
      <c r="M15" s="81">
        <v>0</v>
      </c>
      <c r="N15" s="83">
        <v>0</v>
      </c>
      <c r="O15" s="83">
        <v>0</v>
      </c>
      <c r="P15" s="83">
        <v>18720</v>
      </c>
      <c r="Q15" s="85" t="s">
        <v>139</v>
      </c>
      <c r="R15" s="81">
        <f t="shared" si="0"/>
        <v>16</v>
      </c>
      <c r="S15" s="81">
        <f t="shared" si="1"/>
        <v>12183.072749999996</v>
      </c>
    </row>
    <row r="16" spans="1:21" s="103" customFormat="1" ht="15" customHeight="1">
      <c r="A16" s="81">
        <v>0</v>
      </c>
      <c r="B16" s="81">
        <v>100</v>
      </c>
      <c r="C16" s="81">
        <v>1025</v>
      </c>
      <c r="D16" s="81">
        <v>100</v>
      </c>
      <c r="E16" s="81">
        <v>0</v>
      </c>
      <c r="F16" s="81">
        <v>0</v>
      </c>
      <c r="G16" s="81">
        <v>0</v>
      </c>
      <c r="H16" s="81">
        <v>109</v>
      </c>
      <c r="I16" s="81">
        <v>8000</v>
      </c>
      <c r="J16" s="81">
        <v>0</v>
      </c>
      <c r="K16" s="82">
        <v>0</v>
      </c>
      <c r="L16" s="81">
        <v>6548</v>
      </c>
      <c r="M16" s="81">
        <v>0</v>
      </c>
      <c r="N16" s="83">
        <v>0</v>
      </c>
      <c r="O16" s="83">
        <v>0</v>
      </c>
      <c r="P16" s="83">
        <v>18720</v>
      </c>
      <c r="Q16" s="85" t="s">
        <v>140</v>
      </c>
      <c r="R16" s="81">
        <f t="shared" si="0"/>
        <v>5</v>
      </c>
      <c r="S16" s="81">
        <f t="shared" si="1"/>
        <v>12172.072749999996</v>
      </c>
    </row>
    <row r="17" spans="1:19" s="103" customFormat="1" ht="15" customHeight="1">
      <c r="A17" s="81">
        <v>0</v>
      </c>
      <c r="B17" s="81">
        <v>100</v>
      </c>
      <c r="C17" s="81">
        <v>1025</v>
      </c>
      <c r="D17" s="81">
        <v>100</v>
      </c>
      <c r="E17" s="81">
        <v>0</v>
      </c>
      <c r="F17" s="81">
        <v>0</v>
      </c>
      <c r="G17" s="81">
        <v>0</v>
      </c>
      <c r="H17" s="81">
        <v>111</v>
      </c>
      <c r="I17" s="81">
        <v>8000</v>
      </c>
      <c r="J17" s="81">
        <v>0</v>
      </c>
      <c r="K17" s="82">
        <v>0</v>
      </c>
      <c r="L17" s="81">
        <v>6546</v>
      </c>
      <c r="M17" s="81">
        <v>0</v>
      </c>
      <c r="N17" s="83">
        <v>0</v>
      </c>
      <c r="O17" s="83">
        <v>0</v>
      </c>
      <c r="P17" s="83">
        <v>18720</v>
      </c>
      <c r="Q17" s="85" t="s">
        <v>141</v>
      </c>
      <c r="R17" s="81">
        <f t="shared" si="0"/>
        <v>7</v>
      </c>
      <c r="S17" s="81">
        <f t="shared" si="1"/>
        <v>12174.072749999996</v>
      </c>
    </row>
    <row r="18" spans="1:19" s="103" customFormat="1" ht="15" customHeight="1">
      <c r="A18" s="81">
        <v>0</v>
      </c>
      <c r="B18" s="81">
        <v>100</v>
      </c>
      <c r="C18" s="81">
        <v>1025</v>
      </c>
      <c r="D18" s="81">
        <v>100</v>
      </c>
      <c r="E18" s="81">
        <v>0</v>
      </c>
      <c r="F18" s="81">
        <v>0</v>
      </c>
      <c r="G18" s="81">
        <v>0</v>
      </c>
      <c r="H18" s="81">
        <v>112</v>
      </c>
      <c r="I18" s="81">
        <v>8000</v>
      </c>
      <c r="J18" s="81">
        <v>0</v>
      </c>
      <c r="K18" s="82">
        <v>0</v>
      </c>
      <c r="L18" s="81">
        <v>6541</v>
      </c>
      <c r="M18" s="81">
        <v>0</v>
      </c>
      <c r="N18" s="83">
        <v>0</v>
      </c>
      <c r="O18" s="83">
        <v>0</v>
      </c>
      <c r="P18" s="83">
        <v>18720</v>
      </c>
      <c r="Q18" s="85" t="s">
        <v>142</v>
      </c>
      <c r="R18" s="81">
        <f t="shared" si="0"/>
        <v>12</v>
      </c>
      <c r="S18" s="81">
        <f t="shared" si="1"/>
        <v>12179.072749999996</v>
      </c>
    </row>
    <row r="19" spans="1:19" s="103" customFormat="1" ht="15" customHeight="1">
      <c r="A19" s="81">
        <v>0</v>
      </c>
      <c r="B19" s="81">
        <v>100</v>
      </c>
      <c r="C19" s="81">
        <v>1025</v>
      </c>
      <c r="D19" s="81">
        <v>100</v>
      </c>
      <c r="E19" s="81">
        <v>0</v>
      </c>
      <c r="F19" s="81">
        <v>0</v>
      </c>
      <c r="G19" s="81">
        <v>0</v>
      </c>
      <c r="H19" s="81">
        <v>107</v>
      </c>
      <c r="I19" s="81">
        <v>8000</v>
      </c>
      <c r="J19" s="81">
        <v>0</v>
      </c>
      <c r="K19" s="82">
        <v>0</v>
      </c>
      <c r="L19" s="81">
        <v>6547</v>
      </c>
      <c r="M19" s="81">
        <v>0</v>
      </c>
      <c r="N19" s="83">
        <v>0</v>
      </c>
      <c r="O19" s="83">
        <v>0</v>
      </c>
      <c r="P19" s="83">
        <v>18720</v>
      </c>
      <c r="Q19" s="85" t="s">
        <v>143</v>
      </c>
      <c r="R19" s="81">
        <f t="shared" si="0"/>
        <v>6</v>
      </c>
      <c r="S19" s="81">
        <f t="shared" si="1"/>
        <v>12173.072749999996</v>
      </c>
    </row>
    <row r="20" spans="1:19" s="103" customFormat="1" ht="15" customHeight="1">
      <c r="A20" s="81">
        <v>1</v>
      </c>
      <c r="B20" s="81">
        <v>100</v>
      </c>
      <c r="C20" s="81">
        <v>1025</v>
      </c>
      <c r="D20" s="81">
        <v>100</v>
      </c>
      <c r="E20" s="81">
        <v>0</v>
      </c>
      <c r="F20" s="81">
        <v>0</v>
      </c>
      <c r="G20" s="81">
        <v>0</v>
      </c>
      <c r="H20" s="81">
        <v>105</v>
      </c>
      <c r="I20" s="81">
        <v>8000</v>
      </c>
      <c r="J20" s="81">
        <v>0</v>
      </c>
      <c r="K20" s="82">
        <v>0</v>
      </c>
      <c r="L20" s="81">
        <v>504</v>
      </c>
      <c r="M20" s="81">
        <v>0</v>
      </c>
      <c r="N20" s="83">
        <v>0</v>
      </c>
      <c r="O20" s="83">
        <v>0</v>
      </c>
      <c r="P20" s="83">
        <v>18720</v>
      </c>
      <c r="Q20" s="85" t="s">
        <v>144</v>
      </c>
      <c r="R20" s="81">
        <f t="shared" si="0"/>
        <v>6049</v>
      </c>
      <c r="S20" s="81">
        <f t="shared" si="1"/>
        <v>18216.072749999996</v>
      </c>
    </row>
    <row r="21" spans="1:19" s="103" customFormat="1" ht="15" customHeight="1">
      <c r="A21" s="81">
        <v>1</v>
      </c>
      <c r="B21" s="81">
        <v>100</v>
      </c>
      <c r="C21" s="81">
        <v>1025</v>
      </c>
      <c r="D21" s="81">
        <v>100</v>
      </c>
      <c r="E21" s="81">
        <v>0</v>
      </c>
      <c r="F21" s="81">
        <v>0</v>
      </c>
      <c r="G21" s="81">
        <v>0</v>
      </c>
      <c r="H21" s="81">
        <v>0</v>
      </c>
      <c r="I21" s="81">
        <v>8000</v>
      </c>
      <c r="J21" s="81">
        <v>0</v>
      </c>
      <c r="K21" s="82">
        <v>0</v>
      </c>
      <c r="L21" s="81">
        <v>0</v>
      </c>
      <c r="M21" s="81">
        <v>0</v>
      </c>
      <c r="N21" s="83">
        <v>0</v>
      </c>
      <c r="O21" s="83">
        <v>0</v>
      </c>
      <c r="P21" s="83">
        <v>18720</v>
      </c>
      <c r="Q21" s="85" t="s">
        <v>159</v>
      </c>
      <c r="R21" s="81">
        <f t="shared" si="0"/>
        <v>6553</v>
      </c>
      <c r="S21" s="81">
        <f t="shared" si="1"/>
        <v>18720.072749999996</v>
      </c>
    </row>
    <row r="22" spans="1:19" s="103" customFormat="1" ht="15" customHeight="1">
      <c r="A22" s="81">
        <v>1</v>
      </c>
      <c r="B22" s="81">
        <v>100</v>
      </c>
      <c r="C22" s="81">
        <v>1025</v>
      </c>
      <c r="D22" s="81">
        <v>100</v>
      </c>
      <c r="E22" s="81">
        <v>0</v>
      </c>
      <c r="F22" s="81">
        <v>0</v>
      </c>
      <c r="G22" s="81">
        <v>0</v>
      </c>
      <c r="H22" s="81">
        <v>0</v>
      </c>
      <c r="I22" s="81">
        <v>8000</v>
      </c>
      <c r="J22" s="81">
        <v>0</v>
      </c>
      <c r="K22" s="82">
        <v>0</v>
      </c>
      <c r="L22" s="81">
        <v>170</v>
      </c>
      <c r="M22" s="81">
        <v>0</v>
      </c>
      <c r="N22" s="83">
        <v>0</v>
      </c>
      <c r="O22" s="83">
        <v>0</v>
      </c>
      <c r="P22" s="83">
        <v>18720</v>
      </c>
      <c r="Q22" s="85" t="s">
        <v>160</v>
      </c>
      <c r="R22" s="81">
        <f t="shared" si="0"/>
        <v>6383</v>
      </c>
      <c r="S22" s="81">
        <f t="shared" si="1"/>
        <v>18550.072749999996</v>
      </c>
    </row>
    <row r="23" spans="1:19" s="103" customFormat="1" ht="15" customHeight="1">
      <c r="A23" s="81">
        <v>1</v>
      </c>
      <c r="B23" s="81">
        <v>100</v>
      </c>
      <c r="C23" s="81">
        <v>1025</v>
      </c>
      <c r="D23" s="81">
        <v>100</v>
      </c>
      <c r="E23" s="81">
        <v>0</v>
      </c>
      <c r="F23" s="81">
        <v>0</v>
      </c>
      <c r="G23" s="81">
        <v>0</v>
      </c>
      <c r="H23" s="81">
        <v>0</v>
      </c>
      <c r="I23" s="81">
        <v>8000</v>
      </c>
      <c r="J23" s="81">
        <v>0</v>
      </c>
      <c r="K23" s="82">
        <v>0</v>
      </c>
      <c r="L23" s="81">
        <v>15</v>
      </c>
      <c r="M23" s="81">
        <v>0</v>
      </c>
      <c r="N23" s="83">
        <v>0</v>
      </c>
      <c r="O23" s="83">
        <v>0</v>
      </c>
      <c r="P23" s="83">
        <v>18720</v>
      </c>
      <c r="Q23" s="85" t="s">
        <v>161</v>
      </c>
      <c r="R23" s="81">
        <f t="shared" si="0"/>
        <v>6538</v>
      </c>
      <c r="S23" s="81">
        <f t="shared" si="1"/>
        <v>18705.072749999996</v>
      </c>
    </row>
    <row r="24" spans="1:19" s="103" customFormat="1" ht="15" customHeight="1">
      <c r="A24" s="81">
        <v>1</v>
      </c>
      <c r="B24" s="81">
        <v>100</v>
      </c>
      <c r="C24" s="81">
        <v>1000</v>
      </c>
      <c r="D24" s="81">
        <v>100</v>
      </c>
      <c r="E24" s="81">
        <v>0</v>
      </c>
      <c r="F24" s="81">
        <v>0</v>
      </c>
      <c r="G24" s="81">
        <v>0</v>
      </c>
      <c r="H24" s="81">
        <v>0</v>
      </c>
      <c r="I24" s="81">
        <v>8000</v>
      </c>
      <c r="J24" s="81">
        <v>0</v>
      </c>
      <c r="K24" s="82">
        <v>0</v>
      </c>
      <c r="L24" s="81">
        <v>0</v>
      </c>
      <c r="M24" s="81">
        <v>0</v>
      </c>
      <c r="N24" s="83">
        <v>0</v>
      </c>
      <c r="O24" s="83">
        <v>0</v>
      </c>
      <c r="P24" s="83">
        <v>18720</v>
      </c>
      <c r="Q24" s="85" t="s">
        <v>162</v>
      </c>
      <c r="R24" s="81">
        <f>$R$4-L24</f>
        <v>6553</v>
      </c>
      <c r="S24" s="81">
        <f t="shared" ref="S24:S34" si="2">$S$4-L24</f>
        <v>18720.072749999996</v>
      </c>
    </row>
    <row r="25" spans="1:19" s="103" customFormat="1" ht="15" customHeight="1">
      <c r="A25" s="81">
        <v>1</v>
      </c>
      <c r="B25" s="81">
        <v>100</v>
      </c>
      <c r="C25" s="81">
        <v>1000</v>
      </c>
      <c r="D25" s="81">
        <v>100</v>
      </c>
      <c r="E25" s="81">
        <v>0</v>
      </c>
      <c r="F25" s="81">
        <v>0</v>
      </c>
      <c r="G25" s="81">
        <v>0</v>
      </c>
      <c r="H25" s="81">
        <v>0</v>
      </c>
      <c r="I25" s="81">
        <v>8000</v>
      </c>
      <c r="J25" s="81">
        <v>0</v>
      </c>
      <c r="K25" s="82">
        <v>0</v>
      </c>
      <c r="L25" s="81">
        <v>59</v>
      </c>
      <c r="M25" s="81">
        <v>0</v>
      </c>
      <c r="N25" s="83">
        <v>0</v>
      </c>
      <c r="O25" s="83">
        <v>0</v>
      </c>
      <c r="P25" s="83">
        <v>18720</v>
      </c>
      <c r="Q25" s="85" t="s">
        <v>163</v>
      </c>
      <c r="R25" s="81">
        <f t="shared" si="0"/>
        <v>6494</v>
      </c>
      <c r="S25" s="81">
        <f t="shared" si="2"/>
        <v>18661.072749999996</v>
      </c>
    </row>
    <row r="26" spans="1:19" s="103" customFormat="1" ht="15" customHeight="1">
      <c r="A26" s="81">
        <v>1</v>
      </c>
      <c r="B26" s="81">
        <v>0</v>
      </c>
      <c r="C26" s="81">
        <v>0</v>
      </c>
      <c r="D26" s="81">
        <v>0</v>
      </c>
      <c r="E26" s="81">
        <v>0</v>
      </c>
      <c r="F26" s="81">
        <v>0</v>
      </c>
      <c r="G26" s="81">
        <v>0</v>
      </c>
      <c r="H26" s="81">
        <v>0</v>
      </c>
      <c r="I26" s="81">
        <v>0</v>
      </c>
      <c r="J26" s="81">
        <v>0</v>
      </c>
      <c r="K26" s="82">
        <v>0</v>
      </c>
      <c r="L26" s="81">
        <v>12</v>
      </c>
      <c r="M26" s="81">
        <v>0</v>
      </c>
      <c r="N26" s="83">
        <v>0</v>
      </c>
      <c r="O26" s="83">
        <v>0</v>
      </c>
      <c r="P26" s="83">
        <v>0</v>
      </c>
      <c r="Q26" s="85" t="s">
        <v>164</v>
      </c>
      <c r="R26" s="81">
        <f t="shared" si="0"/>
        <v>6541</v>
      </c>
      <c r="S26" s="81">
        <f t="shared" si="2"/>
        <v>18708.072749999996</v>
      </c>
    </row>
    <row r="27" spans="1:19" s="103" customFormat="1" ht="15" customHeight="1">
      <c r="A27" s="81">
        <v>1</v>
      </c>
      <c r="B27" s="81">
        <v>0</v>
      </c>
      <c r="C27" s="81">
        <v>0</v>
      </c>
      <c r="D27" s="81">
        <v>0</v>
      </c>
      <c r="E27" s="81">
        <v>0</v>
      </c>
      <c r="F27" s="81">
        <v>0</v>
      </c>
      <c r="G27" s="81">
        <v>0</v>
      </c>
      <c r="H27" s="81">
        <v>0</v>
      </c>
      <c r="I27" s="81">
        <v>0</v>
      </c>
      <c r="J27" s="81">
        <v>0</v>
      </c>
      <c r="K27" s="82">
        <v>0</v>
      </c>
      <c r="L27" s="81">
        <v>13</v>
      </c>
      <c r="M27" s="81">
        <v>0</v>
      </c>
      <c r="N27" s="83">
        <v>0</v>
      </c>
      <c r="O27" s="83">
        <v>0</v>
      </c>
      <c r="P27" s="83">
        <v>0</v>
      </c>
      <c r="Q27" s="85" t="s">
        <v>165</v>
      </c>
      <c r="R27" s="81">
        <f t="shared" si="0"/>
        <v>6540</v>
      </c>
      <c r="S27" s="81">
        <f t="shared" si="2"/>
        <v>18707.072749999996</v>
      </c>
    </row>
    <row r="28" spans="1:19" s="103" customFormat="1" ht="15" customHeight="1">
      <c r="A28" s="81">
        <v>1</v>
      </c>
      <c r="B28" s="81">
        <v>0</v>
      </c>
      <c r="C28" s="81">
        <v>0</v>
      </c>
      <c r="D28" s="81">
        <v>0</v>
      </c>
      <c r="E28" s="81">
        <v>0</v>
      </c>
      <c r="F28" s="81">
        <v>0</v>
      </c>
      <c r="G28" s="81">
        <v>0</v>
      </c>
      <c r="H28" s="81">
        <v>0</v>
      </c>
      <c r="I28" s="81">
        <v>0</v>
      </c>
      <c r="J28" s="81">
        <v>0</v>
      </c>
      <c r="K28" s="82">
        <v>0</v>
      </c>
      <c r="L28" s="81">
        <v>0</v>
      </c>
      <c r="M28" s="81">
        <v>0</v>
      </c>
      <c r="N28" s="83">
        <v>0</v>
      </c>
      <c r="O28" s="83">
        <v>0</v>
      </c>
      <c r="P28" s="83">
        <v>0</v>
      </c>
      <c r="Q28" s="85" t="s">
        <v>166</v>
      </c>
      <c r="R28" s="81">
        <f t="shared" si="0"/>
        <v>6553</v>
      </c>
      <c r="S28" s="81">
        <f t="shared" si="2"/>
        <v>18720.072749999996</v>
      </c>
    </row>
    <row r="29" spans="1:19" s="103" customFormat="1" ht="15" customHeight="1">
      <c r="A29" s="81">
        <v>1</v>
      </c>
      <c r="B29" s="81">
        <v>0</v>
      </c>
      <c r="C29" s="81">
        <v>0</v>
      </c>
      <c r="D29" s="81">
        <v>0</v>
      </c>
      <c r="E29" s="81">
        <v>0</v>
      </c>
      <c r="F29" s="81">
        <v>0</v>
      </c>
      <c r="G29" s="81">
        <v>0</v>
      </c>
      <c r="H29" s="81">
        <v>0</v>
      </c>
      <c r="I29" s="81">
        <v>0</v>
      </c>
      <c r="J29" s="81">
        <v>0</v>
      </c>
      <c r="K29" s="82">
        <v>0</v>
      </c>
      <c r="L29" s="81">
        <v>219</v>
      </c>
      <c r="M29" s="81">
        <v>0</v>
      </c>
      <c r="N29" s="83">
        <v>0</v>
      </c>
      <c r="O29" s="83">
        <v>0</v>
      </c>
      <c r="P29" s="83">
        <v>0</v>
      </c>
      <c r="Q29" s="85" t="s">
        <v>167</v>
      </c>
      <c r="R29" s="81">
        <f t="shared" si="0"/>
        <v>6334</v>
      </c>
      <c r="S29" s="81">
        <f t="shared" si="2"/>
        <v>18501.072749999996</v>
      </c>
    </row>
    <row r="30" spans="1:19" s="103" customFormat="1" ht="15" customHeight="1">
      <c r="A30" s="81">
        <v>1</v>
      </c>
      <c r="B30" s="81">
        <v>0</v>
      </c>
      <c r="C30" s="81">
        <v>0</v>
      </c>
      <c r="D30" s="81">
        <v>0</v>
      </c>
      <c r="E30" s="81">
        <v>0</v>
      </c>
      <c r="F30" s="81">
        <v>0</v>
      </c>
      <c r="G30" s="81">
        <v>0</v>
      </c>
      <c r="H30" s="81">
        <v>0</v>
      </c>
      <c r="I30" s="81">
        <v>0</v>
      </c>
      <c r="J30" s="81">
        <v>0</v>
      </c>
      <c r="K30" s="82">
        <v>0</v>
      </c>
      <c r="L30" s="81">
        <v>0</v>
      </c>
      <c r="M30" s="81">
        <v>0</v>
      </c>
      <c r="N30" s="83">
        <v>0</v>
      </c>
      <c r="O30" s="83">
        <v>0</v>
      </c>
      <c r="P30" s="83">
        <v>0</v>
      </c>
      <c r="Q30" s="85" t="s">
        <v>168</v>
      </c>
      <c r="R30" s="81">
        <f t="shared" si="0"/>
        <v>6553</v>
      </c>
      <c r="S30" s="81">
        <f t="shared" si="2"/>
        <v>18720.072749999996</v>
      </c>
    </row>
    <row r="31" spans="1:19" s="103" customFormat="1" ht="15" customHeight="1">
      <c r="A31" s="81">
        <v>1</v>
      </c>
      <c r="B31" s="81">
        <v>0</v>
      </c>
      <c r="C31" s="81">
        <v>0</v>
      </c>
      <c r="D31" s="81">
        <v>0</v>
      </c>
      <c r="E31" s="81">
        <v>0</v>
      </c>
      <c r="F31" s="81">
        <v>0</v>
      </c>
      <c r="G31" s="81">
        <v>0</v>
      </c>
      <c r="H31" s="81">
        <v>0</v>
      </c>
      <c r="I31" s="81">
        <v>0</v>
      </c>
      <c r="J31" s="81">
        <v>0</v>
      </c>
      <c r="K31" s="82">
        <v>0</v>
      </c>
      <c r="L31" s="81">
        <v>15</v>
      </c>
      <c r="M31" s="81">
        <v>0</v>
      </c>
      <c r="N31" s="83">
        <v>0</v>
      </c>
      <c r="O31" s="83">
        <v>0</v>
      </c>
      <c r="P31" s="83">
        <v>0</v>
      </c>
      <c r="Q31" s="85" t="s">
        <v>169</v>
      </c>
      <c r="R31" s="81">
        <f t="shared" si="0"/>
        <v>6538</v>
      </c>
      <c r="S31" s="81">
        <f t="shared" si="2"/>
        <v>18705.072749999996</v>
      </c>
    </row>
    <row r="32" spans="1:19" s="103" customFormat="1" ht="15" customHeight="1">
      <c r="A32" s="81">
        <v>1</v>
      </c>
      <c r="B32" s="81">
        <v>0</v>
      </c>
      <c r="C32" s="81">
        <v>0</v>
      </c>
      <c r="D32" s="81">
        <v>0</v>
      </c>
      <c r="E32" s="81">
        <v>0</v>
      </c>
      <c r="F32" s="81">
        <v>0</v>
      </c>
      <c r="G32" s="81">
        <v>0</v>
      </c>
      <c r="H32" s="81">
        <v>0</v>
      </c>
      <c r="I32" s="81">
        <v>0</v>
      </c>
      <c r="J32" s="81">
        <v>0</v>
      </c>
      <c r="K32" s="82">
        <v>0</v>
      </c>
      <c r="L32" s="81">
        <v>173</v>
      </c>
      <c r="M32" s="81">
        <v>0</v>
      </c>
      <c r="N32" s="83">
        <v>0</v>
      </c>
      <c r="O32" s="83">
        <v>0</v>
      </c>
      <c r="P32" s="83">
        <v>0</v>
      </c>
      <c r="Q32" s="85" t="s">
        <v>170</v>
      </c>
      <c r="R32" s="81">
        <f t="shared" si="0"/>
        <v>6380</v>
      </c>
      <c r="S32" s="81">
        <f t="shared" si="2"/>
        <v>18547.072749999996</v>
      </c>
    </row>
    <row r="33" spans="1:19" s="103" customFormat="1" ht="15" customHeight="1">
      <c r="A33" s="81">
        <v>1</v>
      </c>
      <c r="B33" s="81">
        <v>0</v>
      </c>
      <c r="C33" s="81">
        <v>0</v>
      </c>
      <c r="D33" s="81">
        <v>0</v>
      </c>
      <c r="E33" s="81">
        <v>0</v>
      </c>
      <c r="F33" s="81">
        <v>0</v>
      </c>
      <c r="G33" s="81">
        <v>0</v>
      </c>
      <c r="H33" s="81">
        <v>0</v>
      </c>
      <c r="I33" s="81">
        <v>0</v>
      </c>
      <c r="J33" s="81">
        <v>0</v>
      </c>
      <c r="K33" s="82">
        <v>0</v>
      </c>
      <c r="L33" s="81">
        <v>208</v>
      </c>
      <c r="M33" s="81">
        <v>0</v>
      </c>
      <c r="N33" s="83">
        <v>0</v>
      </c>
      <c r="O33" s="83">
        <v>0</v>
      </c>
      <c r="P33" s="83">
        <v>0</v>
      </c>
      <c r="Q33" s="85" t="s">
        <v>171</v>
      </c>
      <c r="R33" s="81">
        <f t="shared" si="0"/>
        <v>6345</v>
      </c>
      <c r="S33" s="81">
        <f t="shared" si="2"/>
        <v>18512.072749999996</v>
      </c>
    </row>
    <row r="34" spans="1:19" s="103" customFormat="1" ht="15" customHeight="1">
      <c r="A34" s="81">
        <v>1</v>
      </c>
      <c r="B34" s="81">
        <v>0</v>
      </c>
      <c r="C34" s="81">
        <v>0</v>
      </c>
      <c r="D34" s="81">
        <v>0</v>
      </c>
      <c r="E34" s="81">
        <v>0</v>
      </c>
      <c r="F34" s="81">
        <v>0</v>
      </c>
      <c r="G34" s="81">
        <v>0</v>
      </c>
      <c r="H34" s="81">
        <v>0</v>
      </c>
      <c r="I34" s="81">
        <v>0</v>
      </c>
      <c r="J34" s="81">
        <v>0</v>
      </c>
      <c r="K34" s="82">
        <v>0</v>
      </c>
      <c r="L34" s="81">
        <v>1271</v>
      </c>
      <c r="M34" s="81">
        <v>0</v>
      </c>
      <c r="N34" s="83">
        <v>0</v>
      </c>
      <c r="O34" s="83">
        <v>0</v>
      </c>
      <c r="P34" s="83">
        <v>0</v>
      </c>
      <c r="Q34" s="85" t="s">
        <v>172</v>
      </c>
      <c r="R34" s="81">
        <f t="shared" si="0"/>
        <v>5282</v>
      </c>
      <c r="S34" s="81">
        <f t="shared" si="2"/>
        <v>17449.072749999996</v>
      </c>
    </row>
    <row r="35" spans="1:19" s="103" customFormat="1" ht="15" customHeight="1">
      <c r="A35" s="81">
        <v>0</v>
      </c>
      <c r="B35" s="81">
        <v>0</v>
      </c>
      <c r="C35" s="81">
        <v>0</v>
      </c>
      <c r="D35" s="81">
        <v>0</v>
      </c>
      <c r="E35" s="81">
        <v>0</v>
      </c>
      <c r="F35" s="81">
        <v>0</v>
      </c>
      <c r="G35" s="81">
        <v>0</v>
      </c>
      <c r="H35" s="81">
        <v>0</v>
      </c>
      <c r="I35" s="81">
        <v>10170</v>
      </c>
      <c r="J35" s="81">
        <v>0</v>
      </c>
      <c r="K35" s="82">
        <v>9665</v>
      </c>
      <c r="L35" s="81">
        <v>31051</v>
      </c>
      <c r="M35" s="81">
        <v>0</v>
      </c>
      <c r="N35" s="83">
        <v>0</v>
      </c>
      <c r="O35" s="83">
        <v>0</v>
      </c>
      <c r="P35" s="83">
        <v>32331</v>
      </c>
      <c r="Q35" s="85" t="s">
        <v>173</v>
      </c>
      <c r="R35" s="81">
        <f t="shared" si="0"/>
        <v>-24498</v>
      </c>
      <c r="S35" s="81">
        <f>$S$2-L35</f>
        <v>1280.0293947012178</v>
      </c>
    </row>
    <row r="36" spans="1:19" s="103" customFormat="1" ht="15" customHeight="1">
      <c r="A36" s="81">
        <v>0</v>
      </c>
      <c r="B36" s="81">
        <v>0</v>
      </c>
      <c r="C36" s="81">
        <v>0</v>
      </c>
      <c r="D36" s="81">
        <v>0</v>
      </c>
      <c r="E36" s="81">
        <v>0</v>
      </c>
      <c r="F36" s="81">
        <v>0</v>
      </c>
      <c r="G36" s="81">
        <v>0</v>
      </c>
      <c r="H36" s="81">
        <v>0</v>
      </c>
      <c r="I36" s="81">
        <v>10170</v>
      </c>
      <c r="J36" s="81">
        <v>0</v>
      </c>
      <c r="K36" s="82">
        <v>9659</v>
      </c>
      <c r="L36" s="81">
        <v>31037</v>
      </c>
      <c r="M36" s="81">
        <v>0</v>
      </c>
      <c r="N36" s="83">
        <v>0</v>
      </c>
      <c r="O36" s="83">
        <v>0</v>
      </c>
      <c r="P36" s="83">
        <v>32331</v>
      </c>
      <c r="Q36" s="85" t="s">
        <v>174</v>
      </c>
      <c r="R36" s="81">
        <f t="shared" si="0"/>
        <v>-24484</v>
      </c>
      <c r="S36" s="81">
        <f>$S$2-L36</f>
        <v>1294.0293947012178</v>
      </c>
    </row>
    <row r="37" spans="1:19" s="101" customFormat="1" ht="15" customHeight="1"/>
    <row r="38" spans="1:19" s="101" customFormat="1" ht="15" customHeight="1" thickBot="1"/>
    <row r="39" spans="1:19" ht="29.25" customHeight="1" thickBot="1">
      <c r="A39" s="105" t="s">
        <v>3</v>
      </c>
      <c r="B39" s="105" t="s">
        <v>4</v>
      </c>
      <c r="C39" s="105" t="s">
        <v>8</v>
      </c>
      <c r="D39" s="105" t="s">
        <v>9</v>
      </c>
      <c r="E39" s="105" t="s">
        <v>6</v>
      </c>
      <c r="F39" s="105" t="s">
        <v>10</v>
      </c>
      <c r="G39" s="105" t="s">
        <v>11</v>
      </c>
      <c r="H39" s="105" t="s">
        <v>192</v>
      </c>
      <c r="I39" s="105" t="s">
        <v>192</v>
      </c>
      <c r="J39" s="109" t="s">
        <v>175</v>
      </c>
    </row>
    <row r="40" spans="1:19" ht="15" customHeight="1" thickBot="1">
      <c r="A40" s="106">
        <v>401</v>
      </c>
      <c r="B40" s="106">
        <v>501</v>
      </c>
      <c r="C40" s="106">
        <v>701</v>
      </c>
      <c r="D40" s="106">
        <v>901</v>
      </c>
      <c r="E40" s="106">
        <v>1001</v>
      </c>
      <c r="F40" s="106">
        <v>2701</v>
      </c>
      <c r="G40" s="107">
        <v>2801</v>
      </c>
      <c r="H40" s="107">
        <v>2901</v>
      </c>
      <c r="I40" s="107">
        <v>3001</v>
      </c>
      <c r="J40" s="110">
        <v>3001</v>
      </c>
      <c r="K40" s="125" t="s">
        <v>195</v>
      </c>
      <c r="L40" s="126"/>
      <c r="M40" s="126"/>
      <c r="N40" s="126"/>
      <c r="O40" s="126"/>
    </row>
    <row r="41" spans="1:19" ht="15" customHeight="1">
      <c r="A41" s="1">
        <v>1025</v>
      </c>
      <c r="B41" s="1">
        <v>0</v>
      </c>
      <c r="C41" s="1">
        <v>0</v>
      </c>
      <c r="D41" s="1">
        <v>0</v>
      </c>
      <c r="E41" s="1">
        <v>8000</v>
      </c>
      <c r="F41" s="1"/>
      <c r="G41" s="1"/>
      <c r="H41" s="1"/>
      <c r="I41" s="1">
        <v>18720</v>
      </c>
      <c r="J41" s="108" t="s">
        <v>158</v>
      </c>
    </row>
    <row r="42" spans="1:19" ht="15" customHeight="1">
      <c r="A42" s="1">
        <v>1025</v>
      </c>
      <c r="B42" s="1">
        <v>0</v>
      </c>
      <c r="C42" s="1">
        <v>0</v>
      </c>
      <c r="D42" s="1">
        <v>0</v>
      </c>
      <c r="E42" s="1">
        <v>8000</v>
      </c>
      <c r="F42" s="1"/>
      <c r="G42" s="1"/>
      <c r="H42" s="1"/>
      <c r="I42" s="1">
        <v>18720</v>
      </c>
      <c r="J42" s="85" t="s">
        <v>130</v>
      </c>
    </row>
    <row r="43" spans="1:19" ht="15" customHeight="1">
      <c r="A43" s="1">
        <v>1025</v>
      </c>
      <c r="B43" s="1">
        <v>100</v>
      </c>
      <c r="C43" s="1">
        <v>0</v>
      </c>
      <c r="D43" s="1">
        <v>0</v>
      </c>
      <c r="E43" s="1">
        <v>8000</v>
      </c>
      <c r="F43" s="1"/>
      <c r="G43" s="1"/>
      <c r="H43" s="1"/>
      <c r="I43" s="1">
        <v>18720</v>
      </c>
      <c r="J43" s="85" t="s">
        <v>131</v>
      </c>
    </row>
    <row r="44" spans="1:19" ht="15" customHeight="1">
      <c r="A44" s="1">
        <v>1025</v>
      </c>
      <c r="B44" s="1">
        <v>100</v>
      </c>
      <c r="C44" s="1">
        <v>0</v>
      </c>
      <c r="D44" s="1">
        <v>0</v>
      </c>
      <c r="E44" s="1">
        <v>8000</v>
      </c>
      <c r="F44" s="1"/>
      <c r="G44" s="1"/>
      <c r="H44" s="1"/>
      <c r="I44" s="1">
        <v>18720</v>
      </c>
      <c r="J44" s="85" t="s">
        <v>132</v>
      </c>
    </row>
    <row r="45" spans="1:19" ht="15" customHeight="1">
      <c r="A45" s="1">
        <v>1025</v>
      </c>
      <c r="B45" s="1">
        <v>100</v>
      </c>
      <c r="C45" s="1">
        <v>0</v>
      </c>
      <c r="D45" s="1">
        <v>0</v>
      </c>
      <c r="E45" s="1">
        <v>8000</v>
      </c>
      <c r="F45" s="1"/>
      <c r="G45" s="1"/>
      <c r="H45" s="1"/>
      <c r="I45" s="1">
        <v>18720</v>
      </c>
      <c r="J45" s="85" t="s">
        <v>133</v>
      </c>
    </row>
    <row r="46" spans="1:19" ht="15" customHeight="1">
      <c r="A46" s="1">
        <v>1025</v>
      </c>
      <c r="B46" s="1">
        <v>100</v>
      </c>
      <c r="C46" s="1">
        <v>0</v>
      </c>
      <c r="D46" s="1">
        <v>0</v>
      </c>
      <c r="E46" s="1">
        <v>8000</v>
      </c>
      <c r="F46" s="1"/>
      <c r="G46" s="1"/>
      <c r="H46" s="1"/>
      <c r="I46" s="1">
        <v>18720</v>
      </c>
      <c r="J46" s="85" t="s">
        <v>134</v>
      </c>
    </row>
    <row r="47" spans="1:19" ht="15" customHeight="1">
      <c r="A47" s="1">
        <v>1025</v>
      </c>
      <c r="B47" s="1">
        <v>100</v>
      </c>
      <c r="C47" s="1">
        <v>0</v>
      </c>
      <c r="D47" s="1">
        <v>0</v>
      </c>
      <c r="E47" s="1">
        <v>8000</v>
      </c>
      <c r="F47" s="1"/>
      <c r="G47" s="1"/>
      <c r="H47" s="1"/>
      <c r="I47" s="1">
        <v>18720</v>
      </c>
      <c r="J47" s="85" t="s">
        <v>135</v>
      </c>
    </row>
    <row r="48" spans="1:19" ht="15" customHeight="1">
      <c r="A48" s="1">
        <v>1025</v>
      </c>
      <c r="B48" s="1">
        <v>100</v>
      </c>
      <c r="C48" s="1">
        <v>0</v>
      </c>
      <c r="D48" s="1">
        <v>0</v>
      </c>
      <c r="E48" s="1">
        <v>8000</v>
      </c>
      <c r="F48" s="1"/>
      <c r="G48" s="1"/>
      <c r="H48" s="1"/>
      <c r="I48" s="1">
        <v>18720</v>
      </c>
      <c r="J48" s="85" t="s">
        <v>136</v>
      </c>
    </row>
    <row r="49" spans="1:10" ht="15" customHeight="1">
      <c r="A49" s="1">
        <v>1025</v>
      </c>
      <c r="B49" s="1">
        <v>100</v>
      </c>
      <c r="C49" s="1">
        <v>0</v>
      </c>
      <c r="D49" s="1">
        <v>0</v>
      </c>
      <c r="E49" s="1">
        <v>8000</v>
      </c>
      <c r="F49" s="1"/>
      <c r="G49" s="1"/>
      <c r="H49" s="1"/>
      <c r="I49" s="1">
        <v>18720</v>
      </c>
      <c r="J49" s="85" t="s">
        <v>137</v>
      </c>
    </row>
    <row r="50" spans="1:10" ht="15" customHeight="1">
      <c r="A50" s="1">
        <v>1025</v>
      </c>
      <c r="B50" s="1">
        <v>100</v>
      </c>
      <c r="C50" s="1">
        <v>0</v>
      </c>
      <c r="D50" s="1">
        <v>0</v>
      </c>
      <c r="E50" s="1">
        <v>8000</v>
      </c>
      <c r="F50" s="1"/>
      <c r="G50" s="1"/>
      <c r="H50" s="1"/>
      <c r="I50" s="1">
        <v>18720</v>
      </c>
      <c r="J50" s="85" t="s">
        <v>138</v>
      </c>
    </row>
    <row r="51" spans="1:10" ht="15" customHeight="1">
      <c r="A51" s="1">
        <v>1025</v>
      </c>
      <c r="B51" s="1">
        <v>100</v>
      </c>
      <c r="C51" s="1">
        <v>0</v>
      </c>
      <c r="D51" s="1">
        <v>0</v>
      </c>
      <c r="E51" s="1">
        <v>8000</v>
      </c>
      <c r="F51" s="1"/>
      <c r="G51" s="1"/>
      <c r="H51" s="1"/>
      <c r="I51" s="1">
        <v>18720</v>
      </c>
      <c r="J51" s="85" t="s">
        <v>139</v>
      </c>
    </row>
    <row r="52" spans="1:10" ht="15" customHeight="1">
      <c r="A52" s="1">
        <v>1025</v>
      </c>
      <c r="B52" s="1">
        <v>100</v>
      </c>
      <c r="C52" s="1">
        <v>0</v>
      </c>
      <c r="D52" s="1">
        <v>0</v>
      </c>
      <c r="E52" s="1">
        <v>8000</v>
      </c>
      <c r="F52" s="1"/>
      <c r="G52" s="1"/>
      <c r="H52" s="1"/>
      <c r="I52" s="1">
        <v>18720</v>
      </c>
      <c r="J52" s="85" t="s">
        <v>140</v>
      </c>
    </row>
    <row r="53" spans="1:10" ht="15" customHeight="1">
      <c r="A53" s="1">
        <v>1025</v>
      </c>
      <c r="B53" s="1">
        <v>100</v>
      </c>
      <c r="C53" s="1">
        <v>0</v>
      </c>
      <c r="D53" s="1">
        <v>0</v>
      </c>
      <c r="E53" s="1">
        <v>8000</v>
      </c>
      <c r="F53" s="1"/>
      <c r="G53" s="1"/>
      <c r="H53" s="1"/>
      <c r="I53" s="1">
        <v>18720</v>
      </c>
      <c r="J53" s="85" t="s">
        <v>141</v>
      </c>
    </row>
    <row r="54" spans="1:10" ht="15" customHeight="1">
      <c r="A54" s="1">
        <v>1025</v>
      </c>
      <c r="B54" s="1">
        <v>100</v>
      </c>
      <c r="C54" s="1">
        <v>0</v>
      </c>
      <c r="D54" s="1">
        <v>0</v>
      </c>
      <c r="E54" s="1">
        <v>8000</v>
      </c>
      <c r="F54" s="1"/>
      <c r="G54" s="1"/>
      <c r="H54" s="1"/>
      <c r="I54" s="1">
        <v>18720</v>
      </c>
      <c r="J54" s="85" t="s">
        <v>142</v>
      </c>
    </row>
    <row r="55" spans="1:10" ht="15" customHeight="1">
      <c r="A55" s="1">
        <v>1025</v>
      </c>
      <c r="B55" s="1">
        <v>100</v>
      </c>
      <c r="C55" s="1">
        <v>0</v>
      </c>
      <c r="D55" s="1">
        <v>0</v>
      </c>
      <c r="E55" s="1">
        <v>8000</v>
      </c>
      <c r="F55" s="1"/>
      <c r="G55" s="1"/>
      <c r="H55" s="1"/>
      <c r="I55" s="1">
        <v>18720</v>
      </c>
      <c r="J55" s="85" t="s">
        <v>143</v>
      </c>
    </row>
    <row r="56" spans="1:10" ht="15" customHeight="1">
      <c r="A56" s="1">
        <v>1025</v>
      </c>
      <c r="B56" s="1">
        <v>100</v>
      </c>
      <c r="C56" s="1">
        <v>0</v>
      </c>
      <c r="D56" s="1">
        <v>0</v>
      </c>
      <c r="E56" s="1">
        <v>8000</v>
      </c>
      <c r="F56" s="1"/>
      <c r="G56" s="1"/>
      <c r="H56" s="1"/>
      <c r="I56" s="1">
        <v>18720</v>
      </c>
      <c r="J56" s="85" t="s">
        <v>144</v>
      </c>
    </row>
    <row r="57" spans="1:10" ht="15" customHeight="1">
      <c r="A57" s="1">
        <v>1025</v>
      </c>
      <c r="B57" s="1">
        <v>100</v>
      </c>
      <c r="C57" s="1">
        <v>0</v>
      </c>
      <c r="D57" s="1">
        <v>0</v>
      </c>
      <c r="E57" s="1">
        <v>8000</v>
      </c>
      <c r="F57" s="1"/>
      <c r="G57" s="1"/>
      <c r="H57" s="1"/>
      <c r="I57" s="1">
        <v>18720</v>
      </c>
      <c r="J57" s="85" t="s">
        <v>159</v>
      </c>
    </row>
    <row r="58" spans="1:10" ht="15" customHeight="1">
      <c r="A58" s="1">
        <v>1025</v>
      </c>
      <c r="B58" s="1">
        <v>100</v>
      </c>
      <c r="C58" s="1">
        <v>0</v>
      </c>
      <c r="D58" s="1">
        <v>0</v>
      </c>
      <c r="E58" s="1">
        <v>8000</v>
      </c>
      <c r="F58" s="1"/>
      <c r="G58" s="1"/>
      <c r="H58" s="1"/>
      <c r="I58" s="1">
        <v>18720</v>
      </c>
      <c r="J58" s="85" t="s">
        <v>160</v>
      </c>
    </row>
    <row r="59" spans="1:10" ht="15" customHeight="1">
      <c r="A59" s="1">
        <v>1025</v>
      </c>
      <c r="B59" s="1">
        <v>100</v>
      </c>
      <c r="C59" s="1">
        <v>0</v>
      </c>
      <c r="D59" s="1">
        <v>0</v>
      </c>
      <c r="E59" s="1">
        <v>8000</v>
      </c>
      <c r="F59" s="1"/>
      <c r="G59" s="1"/>
      <c r="H59" s="1"/>
      <c r="I59" s="1">
        <v>18720</v>
      </c>
      <c r="J59" s="85" t="s">
        <v>161</v>
      </c>
    </row>
    <row r="60" spans="1:10" ht="15" customHeight="1">
      <c r="A60" s="1">
        <v>1000</v>
      </c>
      <c r="B60" s="1">
        <v>100</v>
      </c>
      <c r="C60" s="1">
        <v>0</v>
      </c>
      <c r="D60" s="1">
        <v>0</v>
      </c>
      <c r="E60" s="1">
        <v>8000</v>
      </c>
      <c r="F60" s="1"/>
      <c r="G60" s="1"/>
      <c r="H60" s="1"/>
      <c r="I60" s="1">
        <v>18720</v>
      </c>
      <c r="J60" s="85" t="s">
        <v>162</v>
      </c>
    </row>
    <row r="61" spans="1:10" ht="15" customHeight="1">
      <c r="A61" s="1">
        <v>1000</v>
      </c>
      <c r="B61" s="1">
        <v>100</v>
      </c>
      <c r="C61" s="1">
        <v>0</v>
      </c>
      <c r="D61" s="1">
        <v>0</v>
      </c>
      <c r="E61" s="1">
        <v>8000</v>
      </c>
      <c r="F61" s="1"/>
      <c r="G61" s="1"/>
      <c r="H61" s="1"/>
      <c r="I61" s="1">
        <v>18720</v>
      </c>
      <c r="J61" s="85" t="s">
        <v>163</v>
      </c>
    </row>
    <row r="62" spans="1:10" ht="15" customHeight="1">
      <c r="A62" s="1"/>
      <c r="B62" s="1">
        <v>0</v>
      </c>
      <c r="C62" s="1">
        <v>0</v>
      </c>
      <c r="D62" s="1">
        <v>0</v>
      </c>
      <c r="E62" s="1">
        <v>0</v>
      </c>
      <c r="F62" s="1"/>
      <c r="G62" s="1"/>
      <c r="H62" s="1"/>
      <c r="I62" s="1"/>
      <c r="J62" s="85" t="s">
        <v>164</v>
      </c>
    </row>
    <row r="63" spans="1:10" ht="15" customHeight="1">
      <c r="A63" s="1"/>
      <c r="B63" s="1">
        <v>0</v>
      </c>
      <c r="C63" s="1">
        <v>0</v>
      </c>
      <c r="D63" s="1">
        <v>0</v>
      </c>
      <c r="E63" s="1">
        <v>0</v>
      </c>
      <c r="F63" s="1"/>
      <c r="G63" s="1"/>
      <c r="H63" s="1"/>
      <c r="I63" s="1"/>
      <c r="J63" s="85" t="s">
        <v>165</v>
      </c>
    </row>
    <row r="64" spans="1:10" ht="15" customHeight="1">
      <c r="A64" s="1"/>
      <c r="B64" s="1">
        <v>0</v>
      </c>
      <c r="C64" s="1">
        <v>0</v>
      </c>
      <c r="D64" s="1">
        <v>0</v>
      </c>
      <c r="E64" s="1">
        <v>0</v>
      </c>
      <c r="F64" s="1"/>
      <c r="G64" s="1"/>
      <c r="H64" s="1"/>
      <c r="I64" s="1"/>
      <c r="J64" s="85" t="s">
        <v>166</v>
      </c>
    </row>
    <row r="65" spans="1:10" ht="15" customHeight="1">
      <c r="A65" s="1"/>
      <c r="B65" s="1">
        <v>0</v>
      </c>
      <c r="C65" s="1">
        <v>0</v>
      </c>
      <c r="D65" s="1">
        <v>0</v>
      </c>
      <c r="E65" s="1">
        <v>0</v>
      </c>
      <c r="F65" s="1"/>
      <c r="G65" s="1"/>
      <c r="H65" s="1"/>
      <c r="I65" s="1"/>
      <c r="J65" s="85" t="s">
        <v>167</v>
      </c>
    </row>
    <row r="66" spans="1:10" ht="15" customHeight="1">
      <c r="A66" s="1"/>
      <c r="B66" s="1">
        <v>0</v>
      </c>
      <c r="C66" s="1">
        <v>0</v>
      </c>
      <c r="D66" s="1">
        <v>0</v>
      </c>
      <c r="E66" s="1">
        <v>0</v>
      </c>
      <c r="F66" s="1"/>
      <c r="G66" s="1"/>
      <c r="H66" s="1"/>
      <c r="I66" s="1"/>
      <c r="J66" s="85" t="s">
        <v>168</v>
      </c>
    </row>
    <row r="67" spans="1:10" ht="15" customHeight="1">
      <c r="A67" s="1"/>
      <c r="B67" s="1">
        <v>0</v>
      </c>
      <c r="C67" s="1">
        <v>0</v>
      </c>
      <c r="D67" s="1">
        <v>0</v>
      </c>
      <c r="E67" s="1">
        <v>0</v>
      </c>
      <c r="F67" s="1"/>
      <c r="G67" s="1"/>
      <c r="H67" s="1"/>
      <c r="I67" s="1"/>
      <c r="J67" s="85" t="s">
        <v>169</v>
      </c>
    </row>
    <row r="68" spans="1:10" ht="15" customHeight="1">
      <c r="A68" s="1"/>
      <c r="B68" s="1">
        <v>0</v>
      </c>
      <c r="C68" s="1">
        <v>0</v>
      </c>
      <c r="D68" s="1">
        <v>0</v>
      </c>
      <c r="E68" s="1">
        <v>0</v>
      </c>
      <c r="F68" s="1"/>
      <c r="G68" s="1"/>
      <c r="H68" s="1"/>
      <c r="I68" s="1"/>
      <c r="J68" s="85" t="s">
        <v>170</v>
      </c>
    </row>
    <row r="69" spans="1:10" ht="15" customHeight="1">
      <c r="A69" s="1"/>
      <c r="B69" s="1">
        <v>0</v>
      </c>
      <c r="C69" s="1">
        <v>0</v>
      </c>
      <c r="D69" s="1">
        <v>0</v>
      </c>
      <c r="E69" s="1">
        <v>0</v>
      </c>
      <c r="F69" s="1"/>
      <c r="G69" s="1"/>
      <c r="H69" s="1"/>
      <c r="I69" s="1"/>
      <c r="J69" s="85" t="s">
        <v>171</v>
      </c>
    </row>
    <row r="70" spans="1:10" ht="15" customHeight="1">
      <c r="A70" s="1"/>
      <c r="B70" s="1">
        <v>0</v>
      </c>
      <c r="C70" s="1">
        <v>0</v>
      </c>
      <c r="D70" s="1">
        <v>0</v>
      </c>
      <c r="E70" s="1">
        <v>0</v>
      </c>
      <c r="F70" s="1"/>
      <c r="G70" s="1"/>
      <c r="H70" s="1"/>
      <c r="I70" s="1"/>
      <c r="J70" s="85" t="s">
        <v>172</v>
      </c>
    </row>
    <row r="71" spans="1:10" ht="15" customHeight="1">
      <c r="A71" s="1"/>
      <c r="B71" s="1">
        <v>0</v>
      </c>
      <c r="C71" s="1">
        <v>0</v>
      </c>
      <c r="D71" s="1">
        <v>0</v>
      </c>
      <c r="E71" s="1">
        <v>10170</v>
      </c>
      <c r="F71" s="1"/>
      <c r="G71" s="1"/>
      <c r="H71" s="1"/>
      <c r="I71" s="1">
        <v>32331</v>
      </c>
      <c r="J71" s="85" t="s">
        <v>173</v>
      </c>
    </row>
    <row r="72" spans="1:10" ht="15" customHeight="1">
      <c r="A72" s="1"/>
      <c r="B72" s="1">
        <v>0</v>
      </c>
      <c r="C72" s="1">
        <v>0</v>
      </c>
      <c r="D72" s="1">
        <v>0</v>
      </c>
      <c r="E72" s="1">
        <v>10170</v>
      </c>
      <c r="F72" s="1"/>
      <c r="G72" s="1"/>
      <c r="H72" s="1"/>
      <c r="I72" s="1">
        <v>32331</v>
      </c>
      <c r="J72" s="85" t="s">
        <v>174</v>
      </c>
    </row>
    <row r="73" spans="1:10" ht="15" customHeight="1"/>
    <row r="77" spans="1:10" ht="15" customHeight="1"/>
    <row r="78" spans="1:10" ht="15" customHeight="1"/>
    <row r="79" spans="1:10" ht="15" customHeight="1"/>
    <row r="80" spans="1:1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</sheetData>
  <mergeCells count="3">
    <mergeCell ref="E1:P2"/>
    <mergeCell ref="B1:D1"/>
    <mergeCell ref="K40:O40"/>
  </mergeCells>
  <phoneticPr fontId="0" type="noConversion"/>
  <printOptions horizontalCentered="1"/>
  <pageMargins left="0.15748031496062992" right="0.15748031496062992" top="0.6692913385826772" bottom="0.51181102362204722" header="0.15748031496062992" footer="0.15748031496062992"/>
  <pageSetup paperSize="9" scale="70" orientation="landscape" horizontalDpi="300" verticalDpi="300" r:id="rId1"/>
  <headerFooter alignWithMargins="0"/>
  <legacyDrawing r:id="rId2"/>
  <controls>
    <control shapeId="1046" r:id="rId3" name="MBTimer1"/>
    <control shapeId="1044" r:id="rId4" name="CommandButton1"/>
    <control shapeId="1041" r:id="rId5" name="Read"/>
    <control shapeId="1037" r:id="rId6" name="WriteValues"/>
    <control shapeId="1025" r:id="rId7" name="OpenModbusPol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H43"/>
  <sheetViews>
    <sheetView topLeftCell="A28" workbookViewId="0">
      <selection activeCell="B18" sqref="B18"/>
    </sheetView>
  </sheetViews>
  <sheetFormatPr baseColWidth="10" defaultColWidth="9.140625" defaultRowHeight="15" customHeight="1"/>
  <cols>
    <col min="1" max="1" width="18.85546875" customWidth="1"/>
    <col min="2" max="7" width="13.42578125" style="62" customWidth="1"/>
    <col min="8" max="8" width="13.42578125" customWidth="1"/>
  </cols>
  <sheetData>
    <row r="1" spans="1:8" ht="15" customHeight="1">
      <c r="A1" s="2"/>
      <c r="B1" s="26"/>
      <c r="C1" s="26"/>
      <c r="D1" s="26"/>
      <c r="E1" s="26"/>
      <c r="F1" s="26"/>
      <c r="G1" s="26"/>
      <c r="H1" s="2"/>
    </row>
    <row r="2" spans="1:8" ht="15" customHeight="1">
      <c r="A2" s="2"/>
      <c r="B2" s="127" t="s">
        <v>17</v>
      </c>
      <c r="C2" s="127"/>
      <c r="D2" s="127"/>
      <c r="E2" s="127"/>
      <c r="F2" s="127"/>
      <c r="G2" s="127"/>
      <c r="H2" s="2"/>
    </row>
    <row r="3" spans="1:8" ht="15" customHeight="1">
      <c r="A3" s="2"/>
      <c r="B3" s="27" t="s">
        <v>18</v>
      </c>
      <c r="C3" s="28"/>
      <c r="D3" s="29"/>
      <c r="E3" s="26"/>
      <c r="F3" s="30" t="s">
        <v>20</v>
      </c>
      <c r="G3" s="29"/>
      <c r="H3" s="2"/>
    </row>
    <row r="4" spans="1:8" ht="15" customHeight="1">
      <c r="A4" s="2"/>
      <c r="B4" s="27" t="s">
        <v>19</v>
      </c>
      <c r="C4" s="28"/>
      <c r="D4" s="29"/>
      <c r="E4" s="26"/>
      <c r="F4" s="31" t="s">
        <v>21</v>
      </c>
      <c r="G4" s="31">
        <v>6553</v>
      </c>
      <c r="H4" s="2"/>
    </row>
    <row r="5" spans="1:8" ht="15" customHeight="1">
      <c r="A5" s="2"/>
      <c r="B5" s="26"/>
      <c r="C5" s="26"/>
      <c r="D5" s="26"/>
      <c r="E5" s="26"/>
      <c r="F5" s="31" t="s">
        <v>22</v>
      </c>
      <c r="G5" s="31">
        <v>58982</v>
      </c>
      <c r="H5" s="3"/>
    </row>
    <row r="6" spans="1:8" ht="15" customHeight="1" thickBot="1">
      <c r="A6" s="2"/>
      <c r="B6" s="26"/>
      <c r="C6" s="26"/>
      <c r="D6" s="26"/>
      <c r="E6" s="32"/>
      <c r="F6" s="31" t="s">
        <v>21</v>
      </c>
      <c r="G6" s="31" t="s">
        <v>26</v>
      </c>
      <c r="H6" s="2"/>
    </row>
    <row r="7" spans="1:8" ht="15" customHeight="1">
      <c r="A7" s="2"/>
      <c r="B7" s="33" t="s">
        <v>23</v>
      </c>
      <c r="C7" s="34" t="s">
        <v>24</v>
      </c>
      <c r="D7" s="35" t="s">
        <v>25</v>
      </c>
      <c r="E7" s="32"/>
      <c r="F7" s="31" t="s">
        <v>22</v>
      </c>
      <c r="G7" s="31" t="s">
        <v>27</v>
      </c>
      <c r="H7" s="2"/>
    </row>
    <row r="8" spans="1:8" ht="15" customHeight="1">
      <c r="A8" s="2"/>
      <c r="B8" s="36">
        <v>1</v>
      </c>
      <c r="C8" s="37">
        <v>68.947999999999993</v>
      </c>
      <c r="D8" s="38">
        <v>703.069569</v>
      </c>
      <c r="E8" s="32"/>
      <c r="F8" s="31" t="s">
        <v>28</v>
      </c>
      <c r="G8" s="31">
        <v>65535</v>
      </c>
      <c r="H8" s="2"/>
    </row>
    <row r="9" spans="1:8" ht="15" customHeight="1">
      <c r="A9" s="2"/>
      <c r="B9" s="36">
        <v>30</v>
      </c>
      <c r="C9" s="39">
        <f>C8*B9</f>
        <v>2068.4399999999996</v>
      </c>
      <c r="D9" s="38">
        <f>D8*B9</f>
        <v>21092.087070000001</v>
      </c>
      <c r="E9" s="32"/>
      <c r="F9" s="31" t="s">
        <v>29</v>
      </c>
      <c r="G9" s="31" t="s">
        <v>30</v>
      </c>
      <c r="H9" s="2"/>
    </row>
    <row r="10" spans="1:8" ht="15" customHeight="1" thickBot="1">
      <c r="A10" s="2"/>
      <c r="B10" s="40">
        <v>50</v>
      </c>
      <c r="C10" s="41">
        <f>C8*B10</f>
        <v>3447.3999999999996</v>
      </c>
      <c r="D10" s="42">
        <f>D8*B10</f>
        <v>35153.478450000002</v>
      </c>
      <c r="E10" s="32"/>
      <c r="F10" s="31" t="s">
        <v>31</v>
      </c>
      <c r="G10" s="31">
        <v>52428</v>
      </c>
      <c r="H10" s="2"/>
    </row>
    <row r="11" spans="1:8" ht="15" customHeight="1" thickBot="1">
      <c r="A11" s="2"/>
      <c r="B11" s="43"/>
      <c r="C11" s="43"/>
      <c r="D11" s="43"/>
      <c r="E11" s="32"/>
      <c r="F11" s="43"/>
      <c r="G11" s="43"/>
      <c r="H11" s="2"/>
    </row>
    <row r="12" spans="1:8" ht="19.5" customHeight="1" thickBot="1">
      <c r="A12" s="78" t="s">
        <v>153</v>
      </c>
      <c r="B12" s="44" t="s">
        <v>32</v>
      </c>
      <c r="C12" s="45" t="s">
        <v>145</v>
      </c>
      <c r="D12" s="44" t="s">
        <v>146</v>
      </c>
      <c r="E12" s="46" t="s">
        <v>147</v>
      </c>
      <c r="F12" s="47" t="s">
        <v>148</v>
      </c>
      <c r="G12" s="46" t="s">
        <v>149</v>
      </c>
      <c r="H12" s="2"/>
    </row>
    <row r="13" spans="1:8" ht="15" customHeight="1" thickBot="1">
      <c r="A13" s="69"/>
      <c r="B13" s="40" t="s">
        <v>33</v>
      </c>
      <c r="C13" s="48">
        <f>65535/4000</f>
        <v>16.383749999999999</v>
      </c>
      <c r="D13" s="40">
        <f>2068.4/3200</f>
        <v>0.64637500000000003</v>
      </c>
      <c r="E13" s="42">
        <f>21092/3200</f>
        <v>6.5912499999999996</v>
      </c>
      <c r="F13" s="49">
        <f>3447.4/3200</f>
        <v>1.0773125000000001</v>
      </c>
      <c r="G13" s="42">
        <f>35153/3200</f>
        <v>10.985312499999999</v>
      </c>
      <c r="H13" s="2"/>
    </row>
    <row r="14" spans="1:8" ht="15" customHeight="1" thickBot="1">
      <c r="A14" s="70"/>
      <c r="B14" s="43"/>
      <c r="C14" s="43"/>
      <c r="D14" s="43"/>
      <c r="E14" s="43"/>
      <c r="F14" s="43"/>
      <c r="G14" s="43"/>
      <c r="H14" s="4"/>
    </row>
    <row r="15" spans="1:8" ht="15" customHeight="1" thickBot="1">
      <c r="A15" s="70"/>
      <c r="B15" s="43"/>
      <c r="C15" s="43"/>
      <c r="D15" s="130" t="s">
        <v>34</v>
      </c>
      <c r="E15" s="131"/>
      <c r="F15" s="130" t="s">
        <v>35</v>
      </c>
      <c r="G15" s="131"/>
      <c r="H15" s="4"/>
    </row>
    <row r="16" spans="1:8" ht="15" customHeight="1" thickBot="1">
      <c r="A16" s="70"/>
      <c r="B16" s="50" t="s">
        <v>36</v>
      </c>
      <c r="C16" s="50" t="s">
        <v>37</v>
      </c>
      <c r="D16" s="51" t="s">
        <v>38</v>
      </c>
      <c r="E16" s="50" t="s">
        <v>39</v>
      </c>
      <c r="F16" s="51" t="s">
        <v>38</v>
      </c>
      <c r="G16" s="50" t="s">
        <v>39</v>
      </c>
      <c r="H16" s="4"/>
    </row>
    <row r="17" spans="1:8" ht="15" customHeight="1">
      <c r="A17" s="97">
        <v>901</v>
      </c>
      <c r="B17" s="95">
        <v>515</v>
      </c>
      <c r="C17" s="52">
        <f>B17*C13</f>
        <v>8437.6312500000004</v>
      </c>
      <c r="D17" s="52">
        <f>(B17-400)*D13</f>
        <v>74.33312500000001</v>
      </c>
      <c r="E17" s="52">
        <f>(B17-400)*E13</f>
        <v>757.99374999999998</v>
      </c>
      <c r="F17" s="52">
        <f>(B17-400)*F13</f>
        <v>123.89093750000001</v>
      </c>
      <c r="G17" s="53">
        <f>(B17-400)*G13</f>
        <v>1263.3109374999999</v>
      </c>
      <c r="H17" s="5"/>
    </row>
    <row r="18" spans="1:8" ht="15" customHeight="1">
      <c r="A18" s="97">
        <v>2701</v>
      </c>
      <c r="B18" s="96">
        <v>1142.5999999999999</v>
      </c>
      <c r="C18" s="31">
        <f>B18*C13</f>
        <v>18720.072749999996</v>
      </c>
      <c r="D18" s="31">
        <f>(B18-400)*D13</f>
        <v>479.99807499999997</v>
      </c>
      <c r="E18" s="31">
        <f>(B18-400)*E13</f>
        <v>4894.6622499999994</v>
      </c>
      <c r="F18" s="31">
        <f>(B18-400)*F13</f>
        <v>800.01226250000002</v>
      </c>
      <c r="G18" s="38">
        <f>(B18-400)*G13</f>
        <v>8157.6930624999986</v>
      </c>
      <c r="H18" s="5"/>
    </row>
    <row r="19" spans="1:8" ht="15" customHeight="1">
      <c r="B19" s="76">
        <v>2442</v>
      </c>
      <c r="C19" s="31">
        <f>B19*C13</f>
        <v>40009.1175</v>
      </c>
      <c r="D19" s="31">
        <f>(B19-400)*D13</f>
        <v>1319.8977500000001</v>
      </c>
      <c r="E19" s="31">
        <f>(B19-400)*E13</f>
        <v>13459.332499999999</v>
      </c>
      <c r="F19" s="31">
        <f>(B19-400)*F13</f>
        <v>2199.8721250000003</v>
      </c>
      <c r="G19" s="38">
        <f>(B19-400)*G13</f>
        <v>22432.008124999997</v>
      </c>
      <c r="H19" s="5"/>
    </row>
    <row r="20" spans="1:8" ht="15" customHeight="1">
      <c r="A20" s="71"/>
      <c r="B20" s="76">
        <v>3600</v>
      </c>
      <c r="C20" s="31">
        <f>B20*C13</f>
        <v>58981.5</v>
      </c>
      <c r="D20" s="31">
        <f>(B20-400)*D13</f>
        <v>2068.4</v>
      </c>
      <c r="E20" s="31">
        <f>(B20-400)*E13</f>
        <v>21092</v>
      </c>
      <c r="F20" s="31">
        <f>(B20-400)*F13</f>
        <v>3447.4000000000005</v>
      </c>
      <c r="G20" s="38">
        <f>(B20-400)*G13</f>
        <v>35153</v>
      </c>
      <c r="H20" s="5"/>
    </row>
    <row r="21" spans="1:8" ht="15" customHeight="1" thickBot="1">
      <c r="A21" s="71"/>
      <c r="B21" s="77">
        <v>4000</v>
      </c>
      <c r="C21" s="41">
        <f>B21*C13</f>
        <v>65535</v>
      </c>
      <c r="D21" s="41">
        <f>(B21-400)*D13</f>
        <v>2326.9500000000003</v>
      </c>
      <c r="E21" s="41">
        <f>(B21-400)*E13</f>
        <v>23728.5</v>
      </c>
      <c r="F21" s="41">
        <f>(B21-400)*F13</f>
        <v>3878.3250000000003</v>
      </c>
      <c r="G21" s="42">
        <f>(B21-400)*G13</f>
        <v>39547.125</v>
      </c>
      <c r="H21" s="5"/>
    </row>
    <row r="22" spans="1:8" ht="15" customHeight="1" thickBot="1">
      <c r="A22" s="71"/>
      <c r="B22" s="54"/>
      <c r="C22" s="55"/>
      <c r="D22" s="55"/>
      <c r="E22" s="55"/>
      <c r="F22" s="55"/>
      <c r="G22" s="55"/>
      <c r="H22" s="5"/>
    </row>
    <row r="23" spans="1:8" ht="19.5" customHeight="1" thickBot="1">
      <c r="A23" s="79" t="s">
        <v>155</v>
      </c>
      <c r="B23" s="56" t="s">
        <v>38</v>
      </c>
      <c r="C23" s="57" t="s">
        <v>47</v>
      </c>
      <c r="D23" s="57" t="s">
        <v>48</v>
      </c>
      <c r="E23" s="57" t="s">
        <v>49</v>
      </c>
      <c r="F23" s="57" t="s">
        <v>50</v>
      </c>
      <c r="G23" s="58" t="s">
        <v>51</v>
      </c>
    </row>
    <row r="24" spans="1:8" ht="15" customHeight="1" thickBot="1">
      <c r="A24" s="72"/>
      <c r="B24" s="40">
        <v>1</v>
      </c>
      <c r="C24" s="41">
        <f>10.197155*B24</f>
        <v>10.197155</v>
      </c>
      <c r="D24" s="41">
        <f>52428/2068.4</f>
        <v>25.347128215045444</v>
      </c>
      <c r="E24" s="41">
        <f>3200/2068.4</f>
        <v>1.5470895378070004</v>
      </c>
      <c r="F24" s="41">
        <f>52428/3447.4</f>
        <v>15.207982827638221</v>
      </c>
      <c r="G24" s="42">
        <f>3200/3447.4</f>
        <v>0.92823577188605899</v>
      </c>
    </row>
    <row r="25" spans="1:8" ht="15" customHeight="1" thickBot="1">
      <c r="A25" s="72"/>
      <c r="B25" s="43"/>
      <c r="C25" s="43"/>
      <c r="D25" s="43"/>
      <c r="E25" s="43"/>
      <c r="F25" s="43"/>
      <c r="G25" s="43"/>
    </row>
    <row r="26" spans="1:8" ht="15" customHeight="1" thickBot="1">
      <c r="A26" s="72"/>
      <c r="B26" s="43"/>
      <c r="C26" s="43"/>
      <c r="D26" s="130" t="s">
        <v>34</v>
      </c>
      <c r="E26" s="131"/>
      <c r="F26" s="130" t="s">
        <v>35</v>
      </c>
      <c r="G26" s="131"/>
    </row>
    <row r="27" spans="1:8" ht="15" customHeight="1">
      <c r="A27" s="72"/>
      <c r="B27" s="59" t="s">
        <v>38</v>
      </c>
      <c r="C27" s="60" t="s">
        <v>39</v>
      </c>
      <c r="D27" s="60" t="s">
        <v>46</v>
      </c>
      <c r="E27" s="60" t="s">
        <v>36</v>
      </c>
      <c r="F27" s="60" t="s">
        <v>46</v>
      </c>
      <c r="G27" s="61" t="s">
        <v>36</v>
      </c>
    </row>
    <row r="28" spans="1:8" ht="15" customHeight="1">
      <c r="A28" s="72"/>
      <c r="B28" s="76">
        <v>118</v>
      </c>
      <c r="C28" s="73">
        <f>(B28)*C24</f>
        <v>1203.2642900000001</v>
      </c>
      <c r="D28" s="73">
        <f>(B28*D24)+6553</f>
        <v>9543.9611293753624</v>
      </c>
      <c r="E28" s="73">
        <f>B28*E24+400</f>
        <v>582.556565461226</v>
      </c>
      <c r="F28" s="73">
        <f>(B28*F24)+6553</f>
        <v>8347.5419736613094</v>
      </c>
      <c r="G28" s="74">
        <f>B28*G24+400</f>
        <v>509.53182108255498</v>
      </c>
    </row>
    <row r="29" spans="1:8" ht="15" customHeight="1">
      <c r="A29" s="72"/>
      <c r="B29" s="76">
        <v>800</v>
      </c>
      <c r="C29" s="73">
        <f>(B29)*C24</f>
        <v>8157.7240000000002</v>
      </c>
      <c r="D29" s="73">
        <f>(B29*D24)+6553</f>
        <v>26830.702572036356</v>
      </c>
      <c r="E29" s="73">
        <f>B29*E24+400</f>
        <v>1637.6716302456002</v>
      </c>
      <c r="F29" s="73">
        <f>(B29*F24)+6553</f>
        <v>18719.386262110576</v>
      </c>
      <c r="G29" s="74">
        <f>B29*G24+400</f>
        <v>1142.5886175088472</v>
      </c>
    </row>
    <row r="30" spans="1:8" ht="15" customHeight="1">
      <c r="A30" s="72"/>
      <c r="B30" s="76">
        <v>700</v>
      </c>
      <c r="C30" s="73">
        <f>(B30)*C24</f>
        <v>7138.0084999999999</v>
      </c>
      <c r="D30" s="73">
        <f>(B30*D24)+6553</f>
        <v>24295.989750531811</v>
      </c>
      <c r="E30" s="73">
        <f>B30*E24+400</f>
        <v>1482.9626764649004</v>
      </c>
      <c r="F30" s="73">
        <f>B30*F24+6553</f>
        <v>17198.587979346754</v>
      </c>
      <c r="G30" s="74">
        <f>B30*G24+400</f>
        <v>1049.7650403202413</v>
      </c>
    </row>
    <row r="31" spans="1:8" ht="15" customHeight="1">
      <c r="A31" s="97" t="s">
        <v>151</v>
      </c>
      <c r="B31" s="96">
        <v>1017</v>
      </c>
      <c r="C31" s="73">
        <f>(B31)*C24</f>
        <v>10370.506635</v>
      </c>
      <c r="D31" s="73">
        <f>(B31*D24)+6553</f>
        <v>32331.029394701218</v>
      </c>
      <c r="E31" s="73">
        <f>B31*E24+400</f>
        <v>1973.3900599497194</v>
      </c>
      <c r="F31" s="73">
        <f>B31*F24+6553</f>
        <v>22019.51853570807</v>
      </c>
      <c r="G31" s="74">
        <f>B31*G24+400</f>
        <v>1344.015780008122</v>
      </c>
    </row>
    <row r="32" spans="1:8" ht="15" customHeight="1">
      <c r="A32" s="72"/>
      <c r="B32" s="76">
        <v>2621.7</v>
      </c>
      <c r="C32" s="73">
        <f>(B32)*C24</f>
        <v>26733.881263499999</v>
      </c>
      <c r="D32" s="73">
        <f>(B32*D24)+6553</f>
        <v>73005.566041384634</v>
      </c>
      <c r="E32" s="73">
        <f>B32*E24+400</f>
        <v>4456.0046412686133</v>
      </c>
      <c r="F32" s="73">
        <f>B32*F24+6553</f>
        <v>46423.768579219119</v>
      </c>
      <c r="G32" s="74">
        <f>B32*G24+400</f>
        <v>2833.5557231536809</v>
      </c>
    </row>
    <row r="33" spans="1:7" ht="15" customHeight="1" thickBot="1">
      <c r="A33" s="72"/>
      <c r="B33" s="43"/>
      <c r="C33" s="43"/>
      <c r="D33" s="43"/>
      <c r="E33" s="32"/>
      <c r="F33" s="43"/>
      <c r="G33" s="43"/>
    </row>
    <row r="34" spans="1:7" ht="19.5" customHeight="1" thickBot="1">
      <c r="A34" s="79" t="s">
        <v>154</v>
      </c>
      <c r="B34" s="63" t="s">
        <v>39</v>
      </c>
      <c r="C34" s="64" t="s">
        <v>40</v>
      </c>
      <c r="D34" s="64" t="s">
        <v>41</v>
      </c>
      <c r="E34" s="64" t="s">
        <v>42</v>
      </c>
      <c r="F34" s="64" t="s">
        <v>43</v>
      </c>
      <c r="G34" s="65" t="s">
        <v>44</v>
      </c>
    </row>
    <row r="35" spans="1:7" ht="15" customHeight="1" thickBot="1">
      <c r="B35" s="40">
        <v>1</v>
      </c>
      <c r="C35" s="41">
        <f>B35/1.0197155</f>
        <v>0.9806656856740924</v>
      </c>
      <c r="D35" s="41">
        <f>52428/21092</f>
        <v>2.4856817750805993</v>
      </c>
      <c r="E35" s="41">
        <f>3200/21092</f>
        <v>0.15171629053669639</v>
      </c>
      <c r="F35" s="41">
        <f>52428/35153</f>
        <v>1.4914232071231475</v>
      </c>
      <c r="G35" s="42">
        <f>3200/35153</f>
        <v>9.103063749893324E-2</v>
      </c>
    </row>
    <row r="36" spans="1:7" ht="15" customHeight="1" thickBot="1">
      <c r="B36" s="43"/>
      <c r="C36" s="43"/>
      <c r="D36" s="43"/>
      <c r="E36" s="43"/>
      <c r="F36" s="43"/>
      <c r="G36" s="43"/>
    </row>
    <row r="37" spans="1:7" ht="15" customHeight="1" thickBot="1">
      <c r="B37" s="43"/>
      <c r="C37" s="43"/>
      <c r="D37" s="128" t="s">
        <v>34</v>
      </c>
      <c r="E37" s="129"/>
      <c r="F37" s="128" t="s">
        <v>35</v>
      </c>
      <c r="G37" s="129"/>
    </row>
    <row r="38" spans="1:7" ht="15" customHeight="1" thickBot="1">
      <c r="B38" s="66" t="s">
        <v>39</v>
      </c>
      <c r="C38" s="67" t="s">
        <v>38</v>
      </c>
      <c r="D38" s="67" t="s">
        <v>46</v>
      </c>
      <c r="E38" s="67" t="s">
        <v>36</v>
      </c>
      <c r="F38" s="67" t="s">
        <v>46</v>
      </c>
      <c r="G38" s="68" t="s">
        <v>36</v>
      </c>
    </row>
    <row r="39" spans="1:7" ht="15" customHeight="1">
      <c r="B39" s="75">
        <v>7000</v>
      </c>
      <c r="C39" s="52">
        <f>(B39)*C35</f>
        <v>6864.6597997186473</v>
      </c>
      <c r="D39" s="52">
        <f>B39*D35+6553</f>
        <v>23952.772425564195</v>
      </c>
      <c r="E39" s="52">
        <f>B39*E35+400</f>
        <v>1462.0140337568746</v>
      </c>
      <c r="F39" s="52">
        <f>B39*F35+6553</f>
        <v>16992.962449862032</v>
      </c>
      <c r="G39" s="53">
        <f>B39*G35+400</f>
        <v>1037.2144624925327</v>
      </c>
    </row>
    <row r="40" spans="1:7" ht="15" customHeight="1">
      <c r="B40" s="76">
        <v>10546</v>
      </c>
      <c r="C40" s="31">
        <f>(B40)*C35</f>
        <v>10342.100321118978</v>
      </c>
      <c r="D40" s="31">
        <f>B40*D35+6553</f>
        <v>32767</v>
      </c>
      <c r="E40" s="31">
        <f>B40*E35+400</f>
        <v>2000</v>
      </c>
      <c r="F40" s="31">
        <f>B40*F35+6553</f>
        <v>22281.549142320713</v>
      </c>
      <c r="G40" s="38">
        <f>B40*G35+400</f>
        <v>1360.00910306375</v>
      </c>
    </row>
    <row r="41" spans="1:7" ht="15" customHeight="1">
      <c r="B41" s="76">
        <v>2000</v>
      </c>
      <c r="C41" s="31">
        <f>(B41)*C35</f>
        <v>1961.3313713481848</v>
      </c>
      <c r="D41" s="31">
        <f>B41*D35+6553</f>
        <v>11524.363550161199</v>
      </c>
      <c r="E41" s="31">
        <f>B41*E35+400</f>
        <v>703.43258107339284</v>
      </c>
      <c r="F41" s="31">
        <f>B41*F35+6553</f>
        <v>9535.8464142462944</v>
      </c>
      <c r="G41" s="38">
        <f>B41*G35+400</f>
        <v>582.06127499786646</v>
      </c>
    </row>
    <row r="42" spans="1:7" ht="15" customHeight="1">
      <c r="B42" s="76">
        <v>21092</v>
      </c>
      <c r="C42" s="31">
        <f>(B42)*C35</f>
        <v>20684.200642237956</v>
      </c>
      <c r="D42" s="31">
        <f>B42*D35+6553</f>
        <v>58981</v>
      </c>
      <c r="E42" s="31">
        <f>B42*E35+400</f>
        <v>3600</v>
      </c>
      <c r="F42" s="31">
        <f>B42*F35+6553</f>
        <v>38010.098284641426</v>
      </c>
      <c r="G42" s="38">
        <f>B42*G35+400</f>
        <v>2320.0182061275</v>
      </c>
    </row>
    <row r="43" spans="1:7" ht="15" customHeight="1" thickBot="1">
      <c r="B43" s="77">
        <v>35153</v>
      </c>
      <c r="C43" s="41">
        <f>(B43)*C35</f>
        <v>34473.340848501372</v>
      </c>
      <c r="D43" s="41">
        <f>B43*D35+6553</f>
        <v>93932.17143940831</v>
      </c>
      <c r="E43" s="41">
        <f>B43*E35+400</f>
        <v>5733.2827612364881</v>
      </c>
      <c r="F43" s="41">
        <f>B43*F35+6553</f>
        <v>58981</v>
      </c>
      <c r="G43" s="42">
        <f>B43*G35+400</f>
        <v>3600</v>
      </c>
    </row>
  </sheetData>
  <mergeCells count="7">
    <mergeCell ref="B2:G2"/>
    <mergeCell ref="D37:E37"/>
    <mergeCell ref="F37:G37"/>
    <mergeCell ref="D26:E26"/>
    <mergeCell ref="F26:G26"/>
    <mergeCell ref="D15:E15"/>
    <mergeCell ref="F15:G15"/>
  </mergeCells>
  <phoneticPr fontId="4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N70"/>
  <sheetViews>
    <sheetView topLeftCell="A4" workbookViewId="0">
      <selection activeCell="B15" sqref="B15"/>
    </sheetView>
  </sheetViews>
  <sheetFormatPr baseColWidth="10" defaultColWidth="9.140625" defaultRowHeight="12.75"/>
  <cols>
    <col min="1" max="1" width="9.140625" style="7"/>
    <col min="2" max="14" width="12.7109375" style="7" customWidth="1"/>
    <col min="15" max="16384" width="9.140625" style="7"/>
  </cols>
  <sheetData>
    <row r="1" spans="1:14" ht="1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ht="15">
      <c r="A2" s="6"/>
      <c r="B2" s="6" t="s">
        <v>52</v>
      </c>
      <c r="C2" s="6" t="s">
        <v>53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ht="15">
      <c r="A3" s="6"/>
      <c r="B3" s="6" t="s">
        <v>54</v>
      </c>
      <c r="C3" s="6" t="s">
        <v>55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 ht="15">
      <c r="A4" s="6"/>
      <c r="B4" s="8" t="s">
        <v>56</v>
      </c>
      <c r="C4" s="8"/>
      <c r="D4" s="8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 ht="1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 ht="15">
      <c r="A6" s="6"/>
      <c r="B6" s="9" t="s">
        <v>57</v>
      </c>
      <c r="C6" s="10" t="s">
        <v>58</v>
      </c>
      <c r="D6" s="9" t="s">
        <v>59</v>
      </c>
      <c r="E6" s="9" t="s">
        <v>60</v>
      </c>
      <c r="F6" s="9" t="s">
        <v>61</v>
      </c>
      <c r="G6" s="10" t="s">
        <v>62</v>
      </c>
      <c r="H6" s="10"/>
      <c r="I6" s="10"/>
      <c r="J6" s="10"/>
      <c r="K6" s="10"/>
      <c r="L6" s="10"/>
      <c r="M6" s="10"/>
      <c r="N6" s="11"/>
    </row>
    <row r="7" spans="1:14" ht="15">
      <c r="A7" s="6"/>
      <c r="B7" s="12">
        <v>101</v>
      </c>
      <c r="C7" s="13" t="s">
        <v>63</v>
      </c>
      <c r="D7" s="14" t="s">
        <v>64</v>
      </c>
      <c r="E7" s="15" t="s">
        <v>65</v>
      </c>
      <c r="F7" s="12" t="s">
        <v>66</v>
      </c>
      <c r="G7" s="13" t="s">
        <v>67</v>
      </c>
      <c r="H7" s="13"/>
      <c r="I7" s="13"/>
      <c r="J7" s="13"/>
      <c r="K7" s="13"/>
      <c r="L7" s="13"/>
      <c r="M7" s="13"/>
      <c r="N7" s="16"/>
    </row>
    <row r="8" spans="1:14" ht="15">
      <c r="A8" s="6"/>
      <c r="B8" s="17">
        <v>201</v>
      </c>
      <c r="C8" s="18" t="s">
        <v>68</v>
      </c>
      <c r="D8" s="19" t="s">
        <v>64</v>
      </c>
      <c r="E8" s="17" t="s">
        <v>69</v>
      </c>
      <c r="F8" s="17" t="s">
        <v>66</v>
      </c>
      <c r="G8" s="18" t="s">
        <v>70</v>
      </c>
      <c r="H8" s="18"/>
      <c r="I8" s="18"/>
      <c r="J8" s="18"/>
      <c r="K8" s="18"/>
      <c r="L8" s="18"/>
      <c r="M8" s="18"/>
      <c r="N8" s="20"/>
    </row>
    <row r="9" spans="1:14" ht="15">
      <c r="A9" s="6"/>
      <c r="B9" s="17">
        <v>301</v>
      </c>
      <c r="C9" s="18" t="s">
        <v>16</v>
      </c>
      <c r="D9" s="19" t="s">
        <v>71</v>
      </c>
      <c r="E9" s="17" t="s">
        <v>72</v>
      </c>
      <c r="F9" s="17" t="s">
        <v>73</v>
      </c>
      <c r="G9" s="18" t="s">
        <v>74</v>
      </c>
      <c r="H9" s="18"/>
      <c r="I9" s="18"/>
      <c r="J9" s="18"/>
      <c r="K9" s="18"/>
      <c r="L9" s="18"/>
      <c r="M9" s="18"/>
      <c r="N9" s="20"/>
    </row>
    <row r="10" spans="1:14" ht="15">
      <c r="A10" s="6"/>
      <c r="B10" s="17">
        <v>401</v>
      </c>
      <c r="C10" s="18" t="s">
        <v>75</v>
      </c>
      <c r="D10" s="17" t="s">
        <v>76</v>
      </c>
      <c r="E10" s="17" t="s">
        <v>77</v>
      </c>
      <c r="F10" s="17" t="s">
        <v>78</v>
      </c>
      <c r="G10" s="18" t="s">
        <v>79</v>
      </c>
      <c r="H10" s="18"/>
      <c r="I10" s="18"/>
      <c r="J10" s="18"/>
      <c r="K10" s="18"/>
      <c r="L10" s="18"/>
      <c r="M10" s="18"/>
      <c r="N10" s="20"/>
    </row>
    <row r="11" spans="1:14" ht="15">
      <c r="A11" s="6"/>
      <c r="B11" s="17">
        <v>501</v>
      </c>
      <c r="C11" s="18" t="s">
        <v>80</v>
      </c>
      <c r="D11" s="17" t="s">
        <v>76</v>
      </c>
      <c r="E11" s="17" t="s">
        <v>81</v>
      </c>
      <c r="F11" s="17" t="s">
        <v>82</v>
      </c>
      <c r="G11" s="18" t="s">
        <v>83</v>
      </c>
      <c r="H11" s="18"/>
      <c r="I11" s="18"/>
      <c r="J11" s="18"/>
      <c r="K11" s="18"/>
      <c r="L11" s="18"/>
      <c r="M11" s="18"/>
      <c r="N11" s="20"/>
    </row>
    <row r="12" spans="1:14" ht="15">
      <c r="A12" s="6"/>
      <c r="B12" s="17">
        <v>601</v>
      </c>
      <c r="C12" s="18" t="s">
        <v>45</v>
      </c>
      <c r="D12" s="19" t="s">
        <v>64</v>
      </c>
      <c r="E12" s="17" t="s">
        <v>84</v>
      </c>
      <c r="F12" s="17" t="s">
        <v>24</v>
      </c>
      <c r="G12" s="18" t="s">
        <v>85</v>
      </c>
      <c r="H12" s="18"/>
      <c r="I12" s="18"/>
      <c r="J12" s="18"/>
      <c r="K12" s="18"/>
      <c r="L12" s="18"/>
      <c r="M12" s="18"/>
      <c r="N12" s="20"/>
    </row>
    <row r="13" spans="1:14" ht="15">
      <c r="A13" s="6"/>
      <c r="B13" s="17">
        <v>701</v>
      </c>
      <c r="C13" s="18" t="s">
        <v>86</v>
      </c>
      <c r="D13" s="17" t="s">
        <v>76</v>
      </c>
      <c r="E13" s="17">
        <v>9999</v>
      </c>
      <c r="F13" s="17" t="s">
        <v>24</v>
      </c>
      <c r="G13" s="18" t="s">
        <v>87</v>
      </c>
      <c r="H13" s="18"/>
      <c r="I13" s="18"/>
      <c r="J13" s="18"/>
      <c r="K13" s="18"/>
      <c r="L13" s="18"/>
      <c r="M13" s="18"/>
      <c r="N13" s="20"/>
    </row>
    <row r="14" spans="1:14" ht="15">
      <c r="A14" s="6"/>
      <c r="B14" s="17">
        <v>801</v>
      </c>
      <c r="C14" s="18" t="s">
        <v>88</v>
      </c>
      <c r="D14" s="19" t="s">
        <v>64</v>
      </c>
      <c r="E14" s="17" t="s">
        <v>89</v>
      </c>
      <c r="F14" s="17" t="s">
        <v>82</v>
      </c>
      <c r="G14" s="18" t="s">
        <v>90</v>
      </c>
      <c r="H14" s="18"/>
      <c r="I14" s="18"/>
      <c r="J14" s="18"/>
      <c r="K14" s="18"/>
      <c r="L14" s="18"/>
      <c r="M14" s="18"/>
      <c r="N14" s="20"/>
    </row>
    <row r="15" spans="1:14" ht="15">
      <c r="A15" s="6"/>
      <c r="B15" s="17">
        <v>901</v>
      </c>
      <c r="C15" s="21" t="s">
        <v>91</v>
      </c>
      <c r="D15" s="17" t="s">
        <v>76</v>
      </c>
      <c r="E15" s="22" t="s">
        <v>92</v>
      </c>
      <c r="F15" s="17" t="s">
        <v>66</v>
      </c>
      <c r="G15" s="18" t="s">
        <v>93</v>
      </c>
      <c r="H15" s="18"/>
      <c r="I15" s="18"/>
      <c r="J15" s="18"/>
      <c r="K15" s="18"/>
      <c r="L15" s="18"/>
      <c r="M15" s="18"/>
      <c r="N15" s="20"/>
    </row>
    <row r="16" spans="1:14" ht="15">
      <c r="A16" s="6"/>
      <c r="B16" s="17"/>
      <c r="C16" s="21"/>
      <c r="D16" s="17"/>
      <c r="E16" s="22"/>
      <c r="F16" s="17"/>
      <c r="G16" s="18" t="s">
        <v>217</v>
      </c>
      <c r="H16" s="18"/>
      <c r="I16" s="18"/>
      <c r="J16" s="18"/>
      <c r="K16" s="18"/>
      <c r="L16" s="18"/>
      <c r="M16" s="18"/>
      <c r="N16" s="20"/>
    </row>
    <row r="17" spans="1:14" ht="15">
      <c r="A17" s="6"/>
      <c r="B17" s="17">
        <v>1001</v>
      </c>
      <c r="C17" s="18" t="s">
        <v>94</v>
      </c>
      <c r="D17" s="17" t="s">
        <v>76</v>
      </c>
      <c r="E17" s="17" t="s">
        <v>84</v>
      </c>
      <c r="F17" s="17" t="s">
        <v>24</v>
      </c>
      <c r="G17" s="18" t="s">
        <v>95</v>
      </c>
      <c r="H17" s="18"/>
      <c r="I17" s="18"/>
      <c r="J17" s="18"/>
      <c r="K17" s="18"/>
      <c r="L17" s="18"/>
      <c r="M17" s="18"/>
      <c r="N17" s="20"/>
    </row>
    <row r="18" spans="1:14" ht="15">
      <c r="A18" s="6"/>
      <c r="B18" s="17">
        <v>1101</v>
      </c>
      <c r="C18" s="18" t="s">
        <v>96</v>
      </c>
      <c r="D18" s="17" t="s">
        <v>76</v>
      </c>
      <c r="E18" s="17" t="s">
        <v>81</v>
      </c>
      <c r="F18" s="17" t="s">
        <v>82</v>
      </c>
      <c r="G18" s="18" t="s">
        <v>97</v>
      </c>
      <c r="H18" s="18"/>
      <c r="I18" s="18"/>
      <c r="J18" s="18"/>
      <c r="K18" s="18"/>
      <c r="L18" s="18"/>
      <c r="M18" s="18"/>
      <c r="N18" s="20"/>
    </row>
    <row r="19" spans="1:14" ht="15">
      <c r="A19" s="6"/>
      <c r="B19" s="17">
        <v>1201</v>
      </c>
      <c r="C19" s="18" t="s">
        <v>98</v>
      </c>
      <c r="D19" s="17" t="s">
        <v>76</v>
      </c>
      <c r="E19" s="17" t="s">
        <v>81</v>
      </c>
      <c r="F19" s="17" t="s">
        <v>82</v>
      </c>
      <c r="G19" s="18" t="s">
        <v>99</v>
      </c>
      <c r="H19" s="18"/>
      <c r="I19" s="18"/>
      <c r="J19" s="18"/>
      <c r="K19" s="18"/>
      <c r="L19" s="18"/>
      <c r="M19" s="18"/>
      <c r="N19" s="20"/>
    </row>
    <row r="20" spans="1:14" ht="15">
      <c r="A20" s="6"/>
      <c r="B20" s="17">
        <v>2501</v>
      </c>
      <c r="C20" s="18" t="s">
        <v>100</v>
      </c>
      <c r="D20" s="19" t="s">
        <v>64</v>
      </c>
      <c r="E20" s="17" t="s">
        <v>101</v>
      </c>
      <c r="F20" s="17" t="s">
        <v>24</v>
      </c>
      <c r="G20" s="18" t="s">
        <v>102</v>
      </c>
      <c r="H20" s="18"/>
      <c r="I20" s="18"/>
      <c r="J20" s="18"/>
      <c r="K20" s="18"/>
      <c r="L20" s="18"/>
      <c r="M20" s="18"/>
      <c r="N20" s="20"/>
    </row>
    <row r="21" spans="1:14" ht="15">
      <c r="A21" s="6"/>
      <c r="B21" s="17">
        <v>2601</v>
      </c>
      <c r="C21" s="18" t="s">
        <v>103</v>
      </c>
      <c r="D21" s="19" t="s">
        <v>64</v>
      </c>
      <c r="E21" s="17" t="s">
        <v>84</v>
      </c>
      <c r="F21" s="17" t="s">
        <v>66</v>
      </c>
      <c r="G21" s="18" t="s">
        <v>104</v>
      </c>
      <c r="H21" s="18"/>
      <c r="I21" s="18"/>
      <c r="J21" s="18"/>
      <c r="K21" s="18"/>
      <c r="L21" s="18"/>
      <c r="M21" s="18"/>
      <c r="N21" s="20"/>
    </row>
    <row r="22" spans="1:14" ht="15">
      <c r="A22" s="6"/>
      <c r="B22" s="17">
        <v>2701</v>
      </c>
      <c r="C22" s="21" t="s">
        <v>105</v>
      </c>
      <c r="D22" s="17" t="s">
        <v>76</v>
      </c>
      <c r="E22" s="22" t="s">
        <v>92</v>
      </c>
      <c r="F22" s="17" t="s">
        <v>66</v>
      </c>
      <c r="G22" s="18" t="s">
        <v>106</v>
      </c>
      <c r="H22" s="18"/>
      <c r="I22" s="18"/>
      <c r="J22" s="18"/>
      <c r="K22" s="18"/>
      <c r="L22" s="18"/>
      <c r="M22" s="18"/>
      <c r="N22" s="20"/>
    </row>
    <row r="23" spans="1:14" ht="15">
      <c r="A23" s="6"/>
      <c r="B23" s="17"/>
      <c r="C23" s="21"/>
      <c r="D23" s="17"/>
      <c r="E23" s="22"/>
      <c r="F23" s="17"/>
      <c r="G23" s="18" t="s">
        <v>216</v>
      </c>
      <c r="H23" s="18"/>
      <c r="I23" s="18"/>
      <c r="J23" s="18"/>
      <c r="K23" s="18"/>
      <c r="L23" s="18"/>
      <c r="M23" s="18"/>
      <c r="N23" s="20"/>
    </row>
    <row r="24" spans="1:14" ht="15">
      <c r="A24" s="6"/>
      <c r="B24" s="17">
        <v>2801</v>
      </c>
      <c r="C24" s="18" t="s">
        <v>107</v>
      </c>
      <c r="D24" s="17" t="s">
        <v>76</v>
      </c>
      <c r="E24" s="17" t="s">
        <v>108</v>
      </c>
      <c r="F24" s="17" t="s">
        <v>66</v>
      </c>
      <c r="G24" s="118" t="s">
        <v>109</v>
      </c>
      <c r="H24" s="18"/>
      <c r="I24" s="18"/>
      <c r="J24" s="18"/>
      <c r="K24" s="18"/>
      <c r="L24" s="18"/>
      <c r="M24" s="18"/>
      <c r="N24" s="20"/>
    </row>
    <row r="25" spans="1:14" ht="15">
      <c r="A25" s="6"/>
      <c r="B25" s="17">
        <v>3001</v>
      </c>
      <c r="C25" s="17" t="s">
        <v>218</v>
      </c>
      <c r="D25" s="17" t="s">
        <v>76</v>
      </c>
      <c r="E25" s="17" t="s">
        <v>215</v>
      </c>
      <c r="F25" s="17" t="s">
        <v>214</v>
      </c>
      <c r="G25" s="121" t="s">
        <v>219</v>
      </c>
      <c r="H25" s="122"/>
      <c r="I25" s="122"/>
      <c r="J25" s="120"/>
      <c r="K25" s="18"/>
      <c r="L25" s="18"/>
      <c r="M25" s="18"/>
      <c r="N25" s="20"/>
    </row>
    <row r="26" spans="1:14" ht="15">
      <c r="A26" s="6"/>
      <c r="B26" s="23">
        <v>3101</v>
      </c>
      <c r="C26" s="23" t="s">
        <v>212</v>
      </c>
      <c r="D26" s="23" t="s">
        <v>76</v>
      </c>
      <c r="E26" s="23"/>
      <c r="F26" s="23"/>
      <c r="G26" s="119" t="s">
        <v>213</v>
      </c>
      <c r="H26" s="24"/>
      <c r="I26" s="24"/>
      <c r="J26" s="24"/>
      <c r="K26" s="24"/>
      <c r="L26" s="24"/>
      <c r="M26" s="24"/>
      <c r="N26" s="25"/>
    </row>
    <row r="27" spans="1:14" ht="1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 ht="1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ht="1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ht="1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ht="1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 ht="1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ht="1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ht="1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ht="1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 ht="1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 ht="1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 ht="1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1:14" ht="1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1:14" ht="1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 ht="1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1:14" ht="1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ht="1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 ht="1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 ht="1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</row>
    <row r="46" spans="1:14" ht="1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</row>
    <row r="47" spans="1:14" ht="1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</row>
    <row r="48" spans="1:14" ht="1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</row>
    <row r="49" spans="1:14" ht="1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</row>
    <row r="50" spans="1:14" ht="1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</row>
    <row r="51" spans="1:14" ht="1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</row>
    <row r="52" spans="1:14" ht="1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</row>
    <row r="53" spans="1:14" ht="1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</row>
    <row r="54" spans="1:14" ht="1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</row>
    <row r="55" spans="1:14" ht="1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</row>
    <row r="56" spans="1:14" ht="1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</row>
    <row r="57" spans="1:14" ht="1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</row>
    <row r="58" spans="1:14" ht="1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</row>
    <row r="59" spans="1:14" ht="1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</row>
    <row r="60" spans="1:14" ht="1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</row>
    <row r="61" spans="1:14" ht="15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</row>
    <row r="62" spans="1:14" ht="15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</row>
    <row r="63" spans="1:14" ht="15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</row>
    <row r="64" spans="1:14" ht="15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spans="1:14" ht="15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4" ht="15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</row>
    <row r="67" spans="1:14" ht="15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</row>
    <row r="68" spans="1:14" ht="15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spans="1:14" ht="1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</row>
    <row r="70" spans="1:14" ht="15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/>
  <dimension ref="B2:R20"/>
  <sheetViews>
    <sheetView workbookViewId="0">
      <selection activeCell="N12" sqref="N12"/>
    </sheetView>
  </sheetViews>
  <sheetFormatPr baseColWidth="10" defaultColWidth="9.140625" defaultRowHeight="12.75"/>
  <cols>
    <col min="1" max="16384" width="9.140625" style="7"/>
  </cols>
  <sheetData>
    <row r="2" spans="2:18" ht="15">
      <c r="B2" s="132" t="s">
        <v>110</v>
      </c>
      <c r="C2" s="133"/>
      <c r="D2" s="134" t="s">
        <v>111</v>
      </c>
      <c r="E2" s="135"/>
      <c r="F2" s="135"/>
      <c r="G2" s="136"/>
      <c r="H2" s="135" t="s">
        <v>112</v>
      </c>
      <c r="I2" s="135"/>
      <c r="J2" s="135"/>
      <c r="K2" s="135"/>
      <c r="L2" s="136"/>
    </row>
    <row r="3" spans="2:18" ht="15">
      <c r="B3" s="137">
        <v>100</v>
      </c>
      <c r="C3" s="137"/>
      <c r="D3" s="138" t="s">
        <v>113</v>
      </c>
      <c r="E3" s="138"/>
      <c r="F3" s="138"/>
      <c r="G3" s="138"/>
      <c r="H3" s="139"/>
      <c r="I3" s="139"/>
      <c r="J3" s="139"/>
      <c r="K3" s="139"/>
      <c r="L3" s="139"/>
    </row>
    <row r="4" spans="2:18" ht="15">
      <c r="B4" s="137">
        <v>200</v>
      </c>
      <c r="C4" s="137"/>
      <c r="D4" s="140" t="s">
        <v>114</v>
      </c>
      <c r="E4" s="140"/>
      <c r="F4" s="140"/>
      <c r="G4" s="140"/>
      <c r="H4" s="141"/>
      <c r="I4" s="141"/>
      <c r="J4" s="141"/>
      <c r="K4" s="141"/>
      <c r="L4" s="141"/>
      <c r="R4" s="116"/>
    </row>
    <row r="5" spans="2:18" ht="15">
      <c r="B5" s="137">
        <v>300</v>
      </c>
      <c r="C5" s="137"/>
      <c r="D5" s="140" t="s">
        <v>39</v>
      </c>
      <c r="E5" s="140"/>
      <c r="F5" s="140"/>
      <c r="G5" s="140"/>
      <c r="H5" s="141"/>
      <c r="I5" s="141"/>
      <c r="J5" s="141"/>
      <c r="K5" s="141"/>
      <c r="L5" s="141"/>
      <c r="M5" s="141" t="s">
        <v>211</v>
      </c>
      <c r="N5" s="141"/>
      <c r="O5" s="141"/>
      <c r="P5" s="141"/>
      <c r="Q5" s="141"/>
      <c r="R5" s="117"/>
    </row>
    <row r="6" spans="2:18" ht="15">
      <c r="B6" s="137">
        <v>400</v>
      </c>
      <c r="C6" s="137"/>
      <c r="D6" s="140" t="s">
        <v>115</v>
      </c>
      <c r="E6" s="140"/>
      <c r="F6" s="140"/>
      <c r="G6" s="140"/>
      <c r="H6" s="142" t="s">
        <v>200</v>
      </c>
      <c r="I6" s="141"/>
      <c r="J6" s="141"/>
      <c r="K6" s="141"/>
      <c r="L6" s="141"/>
      <c r="R6" s="116"/>
    </row>
    <row r="7" spans="2:18" ht="15">
      <c r="B7" s="137">
        <v>500</v>
      </c>
      <c r="C7" s="137"/>
      <c r="D7" s="140" t="s">
        <v>116</v>
      </c>
      <c r="E7" s="140"/>
      <c r="F7" s="140"/>
      <c r="G7" s="140"/>
      <c r="H7" s="141" t="s">
        <v>201</v>
      </c>
      <c r="I7" s="141"/>
      <c r="J7" s="141"/>
      <c r="K7" s="141"/>
      <c r="L7" s="141"/>
    </row>
    <row r="8" spans="2:18" ht="15">
      <c r="B8" s="137">
        <v>600</v>
      </c>
      <c r="C8" s="137"/>
      <c r="D8" s="140" t="s">
        <v>38</v>
      </c>
      <c r="E8" s="140"/>
      <c r="F8" s="140"/>
      <c r="G8" s="140"/>
      <c r="H8" s="141" t="s">
        <v>117</v>
      </c>
      <c r="I8" s="141"/>
      <c r="J8" s="141"/>
      <c r="K8" s="141"/>
      <c r="L8" s="141"/>
    </row>
    <row r="9" spans="2:18" ht="15">
      <c r="B9" s="137">
        <v>701</v>
      </c>
      <c r="C9" s="137"/>
      <c r="D9" s="140" t="s">
        <v>118</v>
      </c>
      <c r="E9" s="140"/>
      <c r="F9" s="140"/>
      <c r="G9" s="140"/>
      <c r="H9" s="141" t="s">
        <v>202</v>
      </c>
      <c r="I9" s="141"/>
      <c r="J9" s="141"/>
      <c r="K9" s="141"/>
      <c r="L9" s="141"/>
    </row>
    <row r="10" spans="2:18" ht="15">
      <c r="B10" s="137">
        <v>801</v>
      </c>
      <c r="C10" s="137"/>
      <c r="D10" s="140" t="s">
        <v>119</v>
      </c>
      <c r="E10" s="140"/>
      <c r="F10" s="140"/>
      <c r="G10" s="140"/>
      <c r="H10" s="141" t="s">
        <v>120</v>
      </c>
      <c r="I10" s="141"/>
      <c r="J10" s="141"/>
      <c r="K10" s="141"/>
      <c r="L10" s="141"/>
      <c r="M10" s="141" t="s">
        <v>211</v>
      </c>
      <c r="N10" s="141"/>
      <c r="O10" s="141"/>
      <c r="P10" s="141"/>
      <c r="Q10" s="141"/>
      <c r="R10" s="117"/>
    </row>
    <row r="11" spans="2:18" ht="15">
      <c r="B11" s="143">
        <v>901</v>
      </c>
      <c r="C11" s="143"/>
      <c r="D11" s="144" t="s">
        <v>121</v>
      </c>
      <c r="E11" s="144"/>
      <c r="F11" s="144"/>
      <c r="G11" s="144"/>
      <c r="H11" s="141" t="s">
        <v>205</v>
      </c>
      <c r="I11" s="141"/>
      <c r="J11" s="141"/>
      <c r="K11" s="141"/>
      <c r="L11" s="141"/>
      <c r="M11" s="141" t="s">
        <v>122</v>
      </c>
      <c r="N11" s="141"/>
      <c r="O11" s="141"/>
      <c r="P11" s="141"/>
      <c r="Q11" s="141"/>
    </row>
    <row r="12" spans="2:18" ht="15">
      <c r="B12" s="145">
        <v>1001</v>
      </c>
      <c r="C12" s="146"/>
      <c r="D12" s="147" t="s">
        <v>206</v>
      </c>
      <c r="E12" s="148"/>
      <c r="F12" s="148"/>
      <c r="G12" s="149"/>
      <c r="H12" s="150" t="s">
        <v>223</v>
      </c>
      <c r="I12" s="151"/>
      <c r="J12" s="151"/>
      <c r="K12" s="151"/>
      <c r="L12" s="152"/>
    </row>
    <row r="13" spans="2:18" ht="15">
      <c r="B13" s="143">
        <v>1101</v>
      </c>
      <c r="C13" s="143"/>
      <c r="D13" s="144" t="s">
        <v>124</v>
      </c>
      <c r="E13" s="144"/>
      <c r="F13" s="144"/>
      <c r="G13" s="144"/>
      <c r="H13" s="141" t="s">
        <v>209</v>
      </c>
      <c r="I13" s="141"/>
      <c r="J13" s="141"/>
      <c r="K13" s="141"/>
      <c r="L13" s="141"/>
    </row>
    <row r="14" spans="2:18" ht="15">
      <c r="B14" s="143">
        <v>1201</v>
      </c>
      <c r="C14" s="143"/>
      <c r="D14" s="144" t="s">
        <v>125</v>
      </c>
      <c r="E14" s="144"/>
      <c r="F14" s="144"/>
      <c r="G14" s="144"/>
      <c r="H14" s="141" t="s">
        <v>210</v>
      </c>
      <c r="I14" s="141"/>
      <c r="J14" s="141"/>
      <c r="K14" s="141"/>
      <c r="L14" s="141"/>
    </row>
    <row r="15" spans="2:18" ht="15">
      <c r="B15" s="143">
        <v>2501</v>
      </c>
      <c r="C15" s="143"/>
      <c r="D15" s="144" t="s">
        <v>126</v>
      </c>
      <c r="E15" s="144"/>
      <c r="F15" s="144"/>
      <c r="G15" s="144"/>
      <c r="H15" s="141" t="s">
        <v>127</v>
      </c>
      <c r="I15" s="141"/>
      <c r="J15" s="141"/>
      <c r="K15" s="141"/>
      <c r="L15" s="141"/>
      <c r="M15" s="141" t="s">
        <v>211</v>
      </c>
      <c r="N15" s="141"/>
      <c r="O15" s="141"/>
      <c r="P15" s="141"/>
      <c r="Q15" s="141"/>
    </row>
    <row r="16" spans="2:18" ht="15">
      <c r="B16" s="143">
        <v>2601</v>
      </c>
      <c r="C16" s="143"/>
      <c r="D16" s="144" t="s">
        <v>128</v>
      </c>
      <c r="E16" s="144"/>
      <c r="F16" s="144"/>
      <c r="G16" s="144"/>
      <c r="H16" s="141" t="s">
        <v>129</v>
      </c>
      <c r="I16" s="141"/>
      <c r="J16" s="141"/>
      <c r="K16" s="141"/>
      <c r="L16" s="141"/>
      <c r="M16" s="141" t="s">
        <v>211</v>
      </c>
      <c r="N16" s="141"/>
      <c r="O16" s="141"/>
      <c r="P16" s="141"/>
      <c r="Q16" s="141"/>
    </row>
    <row r="17" spans="2:17" ht="15">
      <c r="B17" s="143">
        <v>2701</v>
      </c>
      <c r="C17" s="143"/>
      <c r="D17" s="144" t="s">
        <v>220</v>
      </c>
      <c r="E17" s="144"/>
      <c r="F17" s="144"/>
      <c r="G17" s="144"/>
      <c r="H17" s="141" t="s">
        <v>208</v>
      </c>
      <c r="I17" s="141"/>
      <c r="J17" s="141"/>
      <c r="K17" s="141"/>
      <c r="L17" s="141"/>
      <c r="M17" s="141" t="s">
        <v>123</v>
      </c>
      <c r="N17" s="141"/>
      <c r="O17" s="141"/>
      <c r="P17" s="141"/>
      <c r="Q17" s="141"/>
    </row>
    <row r="18" spans="2:17" ht="15">
      <c r="B18" s="143">
        <v>2801</v>
      </c>
      <c r="C18" s="143"/>
      <c r="D18" s="144" t="s">
        <v>221</v>
      </c>
      <c r="E18" s="144"/>
      <c r="F18" s="144"/>
      <c r="G18" s="144"/>
      <c r="H18" s="141" t="s">
        <v>199</v>
      </c>
      <c r="I18" s="141"/>
      <c r="J18" s="141"/>
      <c r="K18" s="141"/>
      <c r="L18" s="141"/>
    </row>
    <row r="19" spans="2:17" ht="15">
      <c r="B19" s="143">
        <v>3001</v>
      </c>
      <c r="C19" s="143"/>
      <c r="D19" s="147" t="s">
        <v>222</v>
      </c>
      <c r="E19" s="148"/>
      <c r="F19" s="148"/>
      <c r="G19" s="149"/>
      <c r="H19" s="141" t="s">
        <v>207</v>
      </c>
      <c r="I19" s="141"/>
      <c r="J19" s="141"/>
      <c r="K19" s="141"/>
      <c r="L19" s="141"/>
    </row>
    <row r="20" spans="2:17" ht="15">
      <c r="B20" s="143">
        <v>3101</v>
      </c>
      <c r="C20" s="143"/>
      <c r="D20" s="144" t="s">
        <v>203</v>
      </c>
      <c r="E20" s="144"/>
      <c r="F20" s="144"/>
      <c r="G20" s="144"/>
      <c r="H20" s="141" t="s">
        <v>204</v>
      </c>
      <c r="I20" s="141"/>
      <c r="J20" s="141"/>
      <c r="K20" s="141"/>
      <c r="L20" s="141"/>
    </row>
  </sheetData>
  <mergeCells count="63">
    <mergeCell ref="M11:Q11"/>
    <mergeCell ref="M17:Q17"/>
    <mergeCell ref="M5:Q5"/>
    <mergeCell ref="M15:Q15"/>
    <mergeCell ref="M16:Q16"/>
    <mergeCell ref="M10:Q10"/>
    <mergeCell ref="B19:C19"/>
    <mergeCell ref="D19:G19"/>
    <mergeCell ref="H19:L19"/>
    <mergeCell ref="B20:C20"/>
    <mergeCell ref="D20:G20"/>
    <mergeCell ref="H20:L20"/>
    <mergeCell ref="B18:C18"/>
    <mergeCell ref="D18:G18"/>
    <mergeCell ref="H18:L18"/>
    <mergeCell ref="B16:C16"/>
    <mergeCell ref="D16:G16"/>
    <mergeCell ref="H16:L16"/>
    <mergeCell ref="B17:C17"/>
    <mergeCell ref="D17:G17"/>
    <mergeCell ref="H17:L17"/>
    <mergeCell ref="B15:C15"/>
    <mergeCell ref="D15:G15"/>
    <mergeCell ref="H15:L15"/>
    <mergeCell ref="B14:C14"/>
    <mergeCell ref="D14:G14"/>
    <mergeCell ref="H14:L14"/>
    <mergeCell ref="B12:C12"/>
    <mergeCell ref="D12:G12"/>
    <mergeCell ref="H12:L12"/>
    <mergeCell ref="B13:C13"/>
    <mergeCell ref="D13:G13"/>
    <mergeCell ref="H13:L13"/>
    <mergeCell ref="B10:C10"/>
    <mergeCell ref="D10:G10"/>
    <mergeCell ref="H10:L10"/>
    <mergeCell ref="B11:C11"/>
    <mergeCell ref="D11:G11"/>
    <mergeCell ref="H11:L11"/>
    <mergeCell ref="B8:C8"/>
    <mergeCell ref="D8:G8"/>
    <mergeCell ref="H8:L8"/>
    <mergeCell ref="B9:C9"/>
    <mergeCell ref="D9:G9"/>
    <mergeCell ref="H9:L9"/>
    <mergeCell ref="B6:C6"/>
    <mergeCell ref="D6:G6"/>
    <mergeCell ref="H6:L6"/>
    <mergeCell ref="B7:C7"/>
    <mergeCell ref="D7:G7"/>
    <mergeCell ref="H7:L7"/>
    <mergeCell ref="B4:C4"/>
    <mergeCell ref="D4:G4"/>
    <mergeCell ref="H4:L4"/>
    <mergeCell ref="B5:C5"/>
    <mergeCell ref="D5:G5"/>
    <mergeCell ref="H5:L5"/>
    <mergeCell ref="B2:C2"/>
    <mergeCell ref="D2:G2"/>
    <mergeCell ref="H2:L2"/>
    <mergeCell ref="B3:C3"/>
    <mergeCell ref="D3:G3"/>
    <mergeCell ref="H3:L3"/>
  </mergeCells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Q73"/>
  <sheetViews>
    <sheetView topLeftCell="A4" workbookViewId="0">
      <selection activeCell="A5" sqref="A5:P36"/>
    </sheetView>
  </sheetViews>
  <sheetFormatPr baseColWidth="10" defaultColWidth="9.140625" defaultRowHeight="20.100000000000001" customHeight="1"/>
  <cols>
    <col min="1" max="1" width="8" style="98" customWidth="1"/>
    <col min="2" max="14" width="8" style="99" customWidth="1"/>
    <col min="15" max="15" width="9.28515625" style="99" bestFit="1" customWidth="1"/>
    <col min="16" max="16384" width="9.140625" style="99"/>
  </cols>
  <sheetData>
    <row r="1" spans="1:17" ht="20.100000000000001" customHeight="1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</row>
    <row r="2" spans="1:17" ht="20.100000000000001" customHeight="1">
      <c r="A2" s="153"/>
      <c r="B2" s="153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</row>
    <row r="3" spans="1:17" s="101" customFormat="1" ht="29.25" customHeight="1">
      <c r="A3" s="89" t="str">
        <f>'Holding Reg RW'!A3</f>
        <v>Sensor Error</v>
      </c>
      <c r="B3" s="89" t="str">
        <f>'Holding Reg RW'!B3</f>
        <v>Level</v>
      </c>
      <c r="C3" s="89" t="str">
        <f>'Holding Reg RW'!C3</f>
        <v>Density</v>
      </c>
      <c r="D3" s="89" t="str">
        <f>'Holding Reg RW'!D3</f>
        <v>Tank Offset</v>
      </c>
      <c r="E3" s="89" t="str">
        <f>'Holding Reg RW'!E3</f>
        <v>Pressure</v>
      </c>
      <c r="F3" s="89" t="str">
        <f>'Holding Reg RW'!F3</f>
        <v>Pipe Resister</v>
      </c>
      <c r="G3" s="89" t="str">
        <f>'Holding Reg RW'!G3</f>
        <v>Height</v>
      </c>
      <c r="H3" s="89" t="str">
        <f>'Holding Reg RW'!H3</f>
        <v>Internal Offset</v>
      </c>
      <c r="I3" s="89" t="str">
        <f>'Holding Reg RW'!I3</f>
        <v>Pressure Range</v>
      </c>
      <c r="J3" s="89" t="str">
        <f>'Holding Reg RW'!J3</f>
        <v>Zero Value</v>
      </c>
      <c r="K3" s="89" t="str">
        <f>'Holding Reg RW'!K3</f>
        <v>Original Pressure</v>
      </c>
      <c r="L3" s="89" t="str">
        <f>'Holding Reg RW'!L3</f>
        <v>ADC Value</v>
      </c>
      <c r="M3" s="89" t="str">
        <f>'Holding Reg RW'!M3</f>
        <v>Internal Span</v>
      </c>
      <c r="N3" s="89" t="str">
        <f>'Holding Reg RW'!N3</f>
        <v>Sensor Use</v>
      </c>
      <c r="O3" s="89" t="str">
        <f>'Holding Reg RW'!O3</f>
        <v>User Offset</v>
      </c>
      <c r="P3" s="90" t="str">
        <f>'Holding Reg RW'!P3</f>
        <v>Span Cal.</v>
      </c>
      <c r="Q3" s="101">
        <f>'Holding Reg RW'!Q3</f>
        <v>0</v>
      </c>
    </row>
    <row r="4" spans="1:17" s="102" customFormat="1" ht="15" customHeight="1">
      <c r="A4" s="86">
        <f>'Holding Reg RW'!A4</f>
        <v>201</v>
      </c>
      <c r="B4" s="87">
        <f>'Holding Reg RW'!B4</f>
        <v>301</v>
      </c>
      <c r="C4" s="87">
        <f>'Holding Reg RW'!C4</f>
        <v>401</v>
      </c>
      <c r="D4" s="87">
        <f>'Holding Reg RW'!D4</f>
        <v>501</v>
      </c>
      <c r="E4" s="87">
        <f>'Holding Reg RW'!E4</f>
        <v>601</v>
      </c>
      <c r="F4" s="87">
        <f>'Holding Reg RW'!F4</f>
        <v>701</v>
      </c>
      <c r="G4" s="87">
        <f>'Holding Reg RW'!G4</f>
        <v>801</v>
      </c>
      <c r="H4" s="87">
        <f>'Holding Reg RW'!H4</f>
        <v>901</v>
      </c>
      <c r="I4" s="87">
        <f>'Holding Reg RW'!I4</f>
        <v>1001</v>
      </c>
      <c r="J4" s="87">
        <f>'Holding Reg RW'!J4</f>
        <v>1101</v>
      </c>
      <c r="K4" s="87">
        <f>'Holding Reg RW'!K4</f>
        <v>2501</v>
      </c>
      <c r="L4" s="87">
        <f>'Holding Reg RW'!L4</f>
        <v>2601</v>
      </c>
      <c r="M4" s="87">
        <f>'Holding Reg RW'!M4</f>
        <v>2701</v>
      </c>
      <c r="N4" s="88">
        <f>'Holding Reg RW'!N4</f>
        <v>2801</v>
      </c>
      <c r="O4" s="88">
        <f>'Holding Reg RW'!O4</f>
        <v>2901</v>
      </c>
      <c r="P4" s="84">
        <f>'Holding Reg RW'!P4</f>
        <v>3001</v>
      </c>
      <c r="Q4" s="102" t="str">
        <f>'Holding Reg RW'!Q4</f>
        <v>Digital</v>
      </c>
    </row>
    <row r="5" spans="1:17" s="103" customFormat="1" ht="15" customHeight="1">
      <c r="A5" s="81">
        <f>'Holding Reg RW'!A5</f>
        <v>0</v>
      </c>
      <c r="B5" s="81">
        <f>'Holding Reg RW'!B5</f>
        <v>0</v>
      </c>
      <c r="C5" s="81">
        <f>'Holding Reg RW'!C5</f>
        <v>1025</v>
      </c>
      <c r="D5" s="81">
        <f>'Holding Reg RW'!D5</f>
        <v>0</v>
      </c>
      <c r="E5" s="81">
        <f>'Holding Reg RW'!E5</f>
        <v>0</v>
      </c>
      <c r="F5" s="81">
        <f>'Holding Reg RW'!F5</f>
        <v>0</v>
      </c>
      <c r="G5" s="81">
        <f>'Holding Reg RW'!G5</f>
        <v>0</v>
      </c>
      <c r="H5" s="81">
        <f>'Holding Reg RW'!H5</f>
        <v>94</v>
      </c>
      <c r="I5" s="81">
        <f>'Holding Reg RW'!I5</f>
        <v>8000</v>
      </c>
      <c r="J5" s="81">
        <f>'Holding Reg RW'!J5</f>
        <v>0</v>
      </c>
      <c r="K5" s="82">
        <f>'Holding Reg RW'!K5</f>
        <v>0</v>
      </c>
      <c r="L5" s="81">
        <f>'Holding Reg RW'!L5</f>
        <v>6540</v>
      </c>
      <c r="M5" s="81">
        <f>'Holding Reg RW'!M5</f>
        <v>0</v>
      </c>
      <c r="N5" s="83">
        <f>'Holding Reg RW'!N5</f>
        <v>0</v>
      </c>
      <c r="O5" s="83">
        <f>'Holding Reg RW'!O5</f>
        <v>0</v>
      </c>
      <c r="P5" s="85">
        <f>'Holding Reg RW'!P5</f>
        <v>18720</v>
      </c>
      <c r="Q5" s="104" t="str">
        <f>'Holding Reg RW'!Q5</f>
        <v>Ch1</v>
      </c>
    </row>
    <row r="6" spans="1:17" s="103" customFormat="1" ht="15" customHeight="1">
      <c r="A6" s="81">
        <f>'Holding Reg RW'!A6</f>
        <v>0</v>
      </c>
      <c r="B6" s="81">
        <f>'Holding Reg RW'!B6</f>
        <v>0</v>
      </c>
      <c r="C6" s="81">
        <f>'Holding Reg RW'!C6</f>
        <v>1025</v>
      </c>
      <c r="D6" s="81">
        <f>'Holding Reg RW'!D6</f>
        <v>0</v>
      </c>
      <c r="E6" s="81">
        <f>'Holding Reg RW'!E6</f>
        <v>0</v>
      </c>
      <c r="F6" s="81">
        <f>'Holding Reg RW'!F6</f>
        <v>0</v>
      </c>
      <c r="G6" s="81">
        <f>'Holding Reg RW'!G6</f>
        <v>0</v>
      </c>
      <c r="H6" s="81">
        <f>'Holding Reg RW'!H6</f>
        <v>94</v>
      </c>
      <c r="I6" s="81">
        <f>'Holding Reg RW'!I6</f>
        <v>8000</v>
      </c>
      <c r="J6" s="81">
        <f>'Holding Reg RW'!J6</f>
        <v>0</v>
      </c>
      <c r="K6" s="82">
        <f>'Holding Reg RW'!K6</f>
        <v>0</v>
      </c>
      <c r="L6" s="81">
        <f>'Holding Reg RW'!L6</f>
        <v>6548</v>
      </c>
      <c r="M6" s="81">
        <f>'Holding Reg RW'!M6</f>
        <v>0</v>
      </c>
      <c r="N6" s="83">
        <f>'Holding Reg RW'!N6</f>
        <v>0</v>
      </c>
      <c r="O6" s="83">
        <f>'Holding Reg RW'!O6</f>
        <v>0</v>
      </c>
      <c r="P6" s="85">
        <f>'Holding Reg RW'!P6</f>
        <v>18720</v>
      </c>
      <c r="Q6" s="104" t="str">
        <f>'Holding Reg RW'!Q6</f>
        <v>Ch2</v>
      </c>
    </row>
    <row r="7" spans="1:17" s="103" customFormat="1" ht="15" customHeight="1">
      <c r="A7" s="81">
        <f>'Holding Reg RW'!A7</f>
        <v>0</v>
      </c>
      <c r="B7" s="81">
        <f>'Holding Reg RW'!B7</f>
        <v>100</v>
      </c>
      <c r="C7" s="81">
        <f>'Holding Reg RW'!C7</f>
        <v>1025</v>
      </c>
      <c r="D7" s="81">
        <f>'Holding Reg RW'!D7</f>
        <v>100</v>
      </c>
      <c r="E7" s="81">
        <f>'Holding Reg RW'!E7</f>
        <v>0</v>
      </c>
      <c r="F7" s="81">
        <f>'Holding Reg RW'!F7</f>
        <v>0</v>
      </c>
      <c r="G7" s="81">
        <f>'Holding Reg RW'!G7</f>
        <v>0</v>
      </c>
      <c r="H7" s="81">
        <f>'Holding Reg RW'!H7</f>
        <v>94</v>
      </c>
      <c r="I7" s="81">
        <f>'Holding Reg RW'!I7</f>
        <v>8000</v>
      </c>
      <c r="J7" s="81">
        <f>'Holding Reg RW'!J7</f>
        <v>0</v>
      </c>
      <c r="K7" s="82">
        <f>'Holding Reg RW'!K7</f>
        <v>0</v>
      </c>
      <c r="L7" s="81">
        <f>'Holding Reg RW'!L7</f>
        <v>6545</v>
      </c>
      <c r="M7" s="81">
        <f>'Holding Reg RW'!M7</f>
        <v>0</v>
      </c>
      <c r="N7" s="83">
        <f>'Holding Reg RW'!N7</f>
        <v>0</v>
      </c>
      <c r="O7" s="83">
        <f>'Holding Reg RW'!O7</f>
        <v>0</v>
      </c>
      <c r="P7" s="85">
        <f>'Holding Reg RW'!P7</f>
        <v>18720</v>
      </c>
      <c r="Q7" s="104" t="str">
        <f>'Holding Reg RW'!Q7</f>
        <v>Ch3</v>
      </c>
    </row>
    <row r="8" spans="1:17" s="103" customFormat="1" ht="15" customHeight="1">
      <c r="A8" s="81">
        <f>'Holding Reg RW'!A8</f>
        <v>0</v>
      </c>
      <c r="B8" s="81">
        <f>'Holding Reg RW'!B8</f>
        <v>100</v>
      </c>
      <c r="C8" s="81">
        <f>'Holding Reg RW'!C8</f>
        <v>1025</v>
      </c>
      <c r="D8" s="81">
        <f>'Holding Reg RW'!D8</f>
        <v>100</v>
      </c>
      <c r="E8" s="81">
        <f>'Holding Reg RW'!E8</f>
        <v>0</v>
      </c>
      <c r="F8" s="81">
        <f>'Holding Reg RW'!F8</f>
        <v>0</v>
      </c>
      <c r="G8" s="81">
        <f>'Holding Reg RW'!G8</f>
        <v>0</v>
      </c>
      <c r="H8" s="81">
        <f>'Holding Reg RW'!H8</f>
        <v>99</v>
      </c>
      <c r="I8" s="81">
        <f>'Holding Reg RW'!I8</f>
        <v>8000</v>
      </c>
      <c r="J8" s="81">
        <f>'Holding Reg RW'!J8</f>
        <v>0</v>
      </c>
      <c r="K8" s="82">
        <f>'Holding Reg RW'!K8</f>
        <v>0</v>
      </c>
      <c r="L8" s="81">
        <f>'Holding Reg RW'!L8</f>
        <v>6531</v>
      </c>
      <c r="M8" s="81">
        <f>'Holding Reg RW'!M8</f>
        <v>0</v>
      </c>
      <c r="N8" s="83">
        <f>'Holding Reg RW'!N8</f>
        <v>0</v>
      </c>
      <c r="O8" s="83">
        <f>'Holding Reg RW'!O8</f>
        <v>0</v>
      </c>
      <c r="P8" s="85">
        <f>'Holding Reg RW'!P8</f>
        <v>18720</v>
      </c>
      <c r="Q8" s="104" t="str">
        <f>'Holding Reg RW'!Q8</f>
        <v>Ch4</v>
      </c>
    </row>
    <row r="9" spans="1:17" s="103" customFormat="1" ht="15" customHeight="1">
      <c r="A9" s="81">
        <f>'Holding Reg RW'!A9</f>
        <v>0</v>
      </c>
      <c r="B9" s="81">
        <f>'Holding Reg RW'!B9</f>
        <v>100</v>
      </c>
      <c r="C9" s="81">
        <f>'Holding Reg RW'!C9</f>
        <v>1025</v>
      </c>
      <c r="D9" s="81">
        <f>'Holding Reg RW'!D9</f>
        <v>100</v>
      </c>
      <c r="E9" s="81">
        <f>'Holding Reg RW'!E9</f>
        <v>0</v>
      </c>
      <c r="F9" s="81">
        <f>'Holding Reg RW'!F9</f>
        <v>0</v>
      </c>
      <c r="G9" s="81">
        <f>'Holding Reg RW'!G9</f>
        <v>0</v>
      </c>
      <c r="H9" s="81">
        <f>'Holding Reg RW'!H9</f>
        <v>96</v>
      </c>
      <c r="I9" s="81">
        <f>'Holding Reg RW'!I9</f>
        <v>8000</v>
      </c>
      <c r="J9" s="81">
        <f>'Holding Reg RW'!J9</f>
        <v>0</v>
      </c>
      <c r="K9" s="82">
        <f>'Holding Reg RW'!K9</f>
        <v>0</v>
      </c>
      <c r="L9" s="81">
        <f>'Holding Reg RW'!L9</f>
        <v>6542</v>
      </c>
      <c r="M9" s="81">
        <f>'Holding Reg RW'!M9</f>
        <v>0</v>
      </c>
      <c r="N9" s="83">
        <f>'Holding Reg RW'!N9</f>
        <v>0</v>
      </c>
      <c r="O9" s="83">
        <f>'Holding Reg RW'!O9</f>
        <v>0</v>
      </c>
      <c r="P9" s="85">
        <f>'Holding Reg RW'!P9</f>
        <v>18720</v>
      </c>
      <c r="Q9" s="104" t="str">
        <f>'Holding Reg RW'!Q9</f>
        <v>Ch5</v>
      </c>
    </row>
    <row r="10" spans="1:17" s="103" customFormat="1" ht="15" customHeight="1">
      <c r="A10" s="81">
        <f>'Holding Reg RW'!A10</f>
        <v>0</v>
      </c>
      <c r="B10" s="81">
        <f>'Holding Reg RW'!B10</f>
        <v>100</v>
      </c>
      <c r="C10" s="81">
        <f>'Holding Reg RW'!C10</f>
        <v>1025</v>
      </c>
      <c r="D10" s="81">
        <f>'Holding Reg RW'!D10</f>
        <v>100</v>
      </c>
      <c r="E10" s="81">
        <f>'Holding Reg RW'!E10</f>
        <v>0</v>
      </c>
      <c r="F10" s="81">
        <f>'Holding Reg RW'!F10</f>
        <v>0</v>
      </c>
      <c r="G10" s="81">
        <f>'Holding Reg RW'!G10</f>
        <v>0</v>
      </c>
      <c r="H10" s="81">
        <f>'Holding Reg RW'!H10</f>
        <v>96</v>
      </c>
      <c r="I10" s="81">
        <f>'Holding Reg RW'!I10</f>
        <v>8000</v>
      </c>
      <c r="J10" s="81">
        <f>'Holding Reg RW'!J10</f>
        <v>0</v>
      </c>
      <c r="K10" s="82">
        <f>'Holding Reg RW'!K10</f>
        <v>0</v>
      </c>
      <c r="L10" s="81">
        <f>'Holding Reg RW'!L10</f>
        <v>6551</v>
      </c>
      <c r="M10" s="81">
        <f>'Holding Reg RW'!M10</f>
        <v>0</v>
      </c>
      <c r="N10" s="83">
        <f>'Holding Reg RW'!N10</f>
        <v>0</v>
      </c>
      <c r="O10" s="83">
        <f>'Holding Reg RW'!O10</f>
        <v>0</v>
      </c>
      <c r="P10" s="85">
        <f>'Holding Reg RW'!P10</f>
        <v>18720</v>
      </c>
      <c r="Q10" s="104" t="str">
        <f>'Holding Reg RW'!Q10</f>
        <v>Ch6</v>
      </c>
    </row>
    <row r="11" spans="1:17" s="103" customFormat="1" ht="15" customHeight="1">
      <c r="A11" s="81">
        <f>'Holding Reg RW'!A11</f>
        <v>0</v>
      </c>
      <c r="B11" s="81">
        <f>'Holding Reg RW'!B11</f>
        <v>100</v>
      </c>
      <c r="C11" s="81">
        <f>'Holding Reg RW'!C11</f>
        <v>1025</v>
      </c>
      <c r="D11" s="81">
        <f>'Holding Reg RW'!D11</f>
        <v>100</v>
      </c>
      <c r="E11" s="81">
        <f>'Holding Reg RW'!E11</f>
        <v>0</v>
      </c>
      <c r="F11" s="81">
        <f>'Holding Reg RW'!F11</f>
        <v>0</v>
      </c>
      <c r="G11" s="81">
        <f>'Holding Reg RW'!G11</f>
        <v>0</v>
      </c>
      <c r="H11" s="81">
        <f>'Holding Reg RW'!H11</f>
        <v>94</v>
      </c>
      <c r="I11" s="81">
        <f>'Holding Reg RW'!I11</f>
        <v>8000</v>
      </c>
      <c r="J11" s="81">
        <f>'Holding Reg RW'!J11</f>
        <v>0</v>
      </c>
      <c r="K11" s="82">
        <f>'Holding Reg RW'!K11</f>
        <v>0</v>
      </c>
      <c r="L11" s="81">
        <f>'Holding Reg RW'!L11</f>
        <v>6522</v>
      </c>
      <c r="M11" s="81">
        <f>'Holding Reg RW'!M11</f>
        <v>0</v>
      </c>
      <c r="N11" s="83">
        <f>'Holding Reg RW'!N11</f>
        <v>0</v>
      </c>
      <c r="O11" s="83">
        <f>'Holding Reg RW'!O11</f>
        <v>0</v>
      </c>
      <c r="P11" s="85">
        <f>'Holding Reg RW'!P11</f>
        <v>18720</v>
      </c>
      <c r="Q11" s="104" t="str">
        <f>'Holding Reg RW'!Q11</f>
        <v>Ch7</v>
      </c>
    </row>
    <row r="12" spans="1:17" s="103" customFormat="1" ht="15" customHeight="1">
      <c r="A12" s="81">
        <f>'Holding Reg RW'!A12</f>
        <v>0</v>
      </c>
      <c r="B12" s="81">
        <f>'Holding Reg RW'!B12</f>
        <v>100</v>
      </c>
      <c r="C12" s="81">
        <f>'Holding Reg RW'!C12</f>
        <v>1025</v>
      </c>
      <c r="D12" s="81">
        <f>'Holding Reg RW'!D12</f>
        <v>100</v>
      </c>
      <c r="E12" s="81">
        <f>'Holding Reg RW'!E12</f>
        <v>0</v>
      </c>
      <c r="F12" s="81">
        <f>'Holding Reg RW'!F12</f>
        <v>0</v>
      </c>
      <c r="G12" s="81">
        <f>'Holding Reg RW'!G12</f>
        <v>0</v>
      </c>
      <c r="H12" s="81">
        <f>'Holding Reg RW'!H12</f>
        <v>92</v>
      </c>
      <c r="I12" s="81">
        <f>'Holding Reg RW'!I12</f>
        <v>8000</v>
      </c>
      <c r="J12" s="81">
        <f>'Holding Reg RW'!J12</f>
        <v>0</v>
      </c>
      <c r="K12" s="82">
        <f>'Holding Reg RW'!K12</f>
        <v>0</v>
      </c>
      <c r="L12" s="81">
        <f>'Holding Reg RW'!L12</f>
        <v>6541</v>
      </c>
      <c r="M12" s="81">
        <f>'Holding Reg RW'!M12</f>
        <v>0</v>
      </c>
      <c r="N12" s="83">
        <f>'Holding Reg RW'!N12</f>
        <v>0</v>
      </c>
      <c r="O12" s="83">
        <f>'Holding Reg RW'!O12</f>
        <v>0</v>
      </c>
      <c r="P12" s="85">
        <f>'Holding Reg RW'!P12</f>
        <v>18720</v>
      </c>
      <c r="Q12" s="104" t="str">
        <f>'Holding Reg RW'!Q12</f>
        <v>Ch8</v>
      </c>
    </row>
    <row r="13" spans="1:17" s="103" customFormat="1" ht="15" customHeight="1">
      <c r="A13" s="81">
        <f>'Holding Reg RW'!A13</f>
        <v>0</v>
      </c>
      <c r="B13" s="81">
        <f>'Holding Reg RW'!B13</f>
        <v>7987</v>
      </c>
      <c r="C13" s="81">
        <f>'Holding Reg RW'!C13</f>
        <v>1025</v>
      </c>
      <c r="D13" s="81">
        <f>'Holding Reg RW'!D13</f>
        <v>100</v>
      </c>
      <c r="E13" s="81">
        <f>'Holding Reg RW'!E13</f>
        <v>0</v>
      </c>
      <c r="F13" s="81">
        <f>'Holding Reg RW'!F13</f>
        <v>0</v>
      </c>
      <c r="G13" s="81">
        <f>'Holding Reg RW'!G13</f>
        <v>0</v>
      </c>
      <c r="H13" s="81">
        <f>'Holding Reg RW'!H13</f>
        <v>109</v>
      </c>
      <c r="I13" s="81">
        <f>'Holding Reg RW'!I13</f>
        <v>8000</v>
      </c>
      <c r="J13" s="81">
        <f>'Holding Reg RW'!J13</f>
        <v>0</v>
      </c>
      <c r="K13" s="82">
        <f>'Holding Reg RW'!K13</f>
        <v>7928</v>
      </c>
      <c r="L13" s="81">
        <f>'Holding Reg RW'!L13</f>
        <v>18611</v>
      </c>
      <c r="M13" s="81">
        <f>'Holding Reg RW'!M13</f>
        <v>221</v>
      </c>
      <c r="N13" s="83">
        <f>'Holding Reg RW'!N13</f>
        <v>0</v>
      </c>
      <c r="O13" s="83">
        <f>'Holding Reg RW'!O13</f>
        <v>0</v>
      </c>
      <c r="P13" s="85">
        <f>'Holding Reg RW'!P13</f>
        <v>18720</v>
      </c>
      <c r="Q13" s="104" t="str">
        <f>'Holding Reg RW'!Q13</f>
        <v>Ch9</v>
      </c>
    </row>
    <row r="14" spans="1:17" s="103" customFormat="1" ht="15" customHeight="1">
      <c r="A14" s="81">
        <f>'Holding Reg RW'!A14</f>
        <v>1</v>
      </c>
      <c r="B14" s="81">
        <f>'Holding Reg RW'!B14</f>
        <v>100</v>
      </c>
      <c r="C14" s="81">
        <f>'Holding Reg RW'!C14</f>
        <v>1025</v>
      </c>
      <c r="D14" s="81">
        <f>'Holding Reg RW'!D14</f>
        <v>100</v>
      </c>
      <c r="E14" s="81">
        <f>'Holding Reg RW'!E14</f>
        <v>0</v>
      </c>
      <c r="F14" s="81">
        <f>'Holding Reg RW'!F14</f>
        <v>0</v>
      </c>
      <c r="G14" s="81">
        <f>'Holding Reg RW'!G14</f>
        <v>0</v>
      </c>
      <c r="H14" s="81">
        <f>'Holding Reg RW'!H14</f>
        <v>104</v>
      </c>
      <c r="I14" s="81">
        <f>'Holding Reg RW'!I14</f>
        <v>8000</v>
      </c>
      <c r="J14" s="81">
        <f>'Holding Reg RW'!J14</f>
        <v>0</v>
      </c>
      <c r="K14" s="82">
        <f>'Holding Reg RW'!K14</f>
        <v>0</v>
      </c>
      <c r="L14" s="81">
        <f>'Holding Reg RW'!L14</f>
        <v>571</v>
      </c>
      <c r="M14" s="81">
        <f>'Holding Reg RW'!M14</f>
        <v>230</v>
      </c>
      <c r="N14" s="83">
        <f>'Holding Reg RW'!N14</f>
        <v>0</v>
      </c>
      <c r="O14" s="83">
        <f>'Holding Reg RW'!O14</f>
        <v>0</v>
      </c>
      <c r="P14" s="85">
        <f>'Holding Reg RW'!P14</f>
        <v>18720</v>
      </c>
      <c r="Q14" s="104" t="str">
        <f>'Holding Reg RW'!Q14</f>
        <v>Ch10</v>
      </c>
    </row>
    <row r="15" spans="1:17" s="103" customFormat="1" ht="15" customHeight="1">
      <c r="A15" s="81">
        <f>'Holding Reg RW'!A15</f>
        <v>0</v>
      </c>
      <c r="B15" s="81">
        <f>'Holding Reg RW'!B15</f>
        <v>100</v>
      </c>
      <c r="C15" s="81">
        <f>'Holding Reg RW'!C15</f>
        <v>1025</v>
      </c>
      <c r="D15" s="81">
        <f>'Holding Reg RW'!D15</f>
        <v>100</v>
      </c>
      <c r="E15" s="81">
        <f>'Holding Reg RW'!E15</f>
        <v>0</v>
      </c>
      <c r="F15" s="81">
        <f>'Holding Reg RW'!F15</f>
        <v>0</v>
      </c>
      <c r="G15" s="81">
        <f>'Holding Reg RW'!G15</f>
        <v>0</v>
      </c>
      <c r="H15" s="81">
        <f>'Holding Reg RW'!H15</f>
        <v>111</v>
      </c>
      <c r="I15" s="81">
        <f>'Holding Reg RW'!I15</f>
        <v>8000</v>
      </c>
      <c r="J15" s="81">
        <f>'Holding Reg RW'!J15</f>
        <v>0</v>
      </c>
      <c r="K15" s="82">
        <f>'Holding Reg RW'!K15</f>
        <v>0</v>
      </c>
      <c r="L15" s="81">
        <f>'Holding Reg RW'!L15</f>
        <v>6537</v>
      </c>
      <c r="M15" s="81">
        <f>'Holding Reg RW'!M15</f>
        <v>0</v>
      </c>
      <c r="N15" s="83">
        <f>'Holding Reg RW'!N15</f>
        <v>0</v>
      </c>
      <c r="O15" s="83">
        <f>'Holding Reg RW'!O15</f>
        <v>0</v>
      </c>
      <c r="P15" s="85">
        <f>'Holding Reg RW'!P15</f>
        <v>18720</v>
      </c>
      <c r="Q15" s="104" t="str">
        <f>'Holding Reg RW'!Q15</f>
        <v>Ch11</v>
      </c>
    </row>
    <row r="16" spans="1:17" s="103" customFormat="1" ht="15" customHeight="1">
      <c r="A16" s="81">
        <f>'Holding Reg RW'!A16</f>
        <v>0</v>
      </c>
      <c r="B16" s="81">
        <f>'Holding Reg RW'!B16</f>
        <v>100</v>
      </c>
      <c r="C16" s="81">
        <f>'Holding Reg RW'!C16</f>
        <v>1025</v>
      </c>
      <c r="D16" s="81">
        <f>'Holding Reg RW'!D16</f>
        <v>100</v>
      </c>
      <c r="E16" s="81">
        <f>'Holding Reg RW'!E16</f>
        <v>0</v>
      </c>
      <c r="F16" s="81">
        <f>'Holding Reg RW'!F16</f>
        <v>0</v>
      </c>
      <c r="G16" s="81">
        <f>'Holding Reg RW'!G16</f>
        <v>0</v>
      </c>
      <c r="H16" s="81">
        <f>'Holding Reg RW'!H16</f>
        <v>109</v>
      </c>
      <c r="I16" s="81">
        <f>'Holding Reg RW'!I16</f>
        <v>8000</v>
      </c>
      <c r="J16" s="81">
        <f>'Holding Reg RW'!J16</f>
        <v>0</v>
      </c>
      <c r="K16" s="82">
        <f>'Holding Reg RW'!K16</f>
        <v>0</v>
      </c>
      <c r="L16" s="81">
        <f>'Holding Reg RW'!L16</f>
        <v>6548</v>
      </c>
      <c r="M16" s="81">
        <f>'Holding Reg RW'!M16</f>
        <v>0</v>
      </c>
      <c r="N16" s="83">
        <f>'Holding Reg RW'!N16</f>
        <v>0</v>
      </c>
      <c r="O16" s="83">
        <f>'Holding Reg RW'!O16</f>
        <v>0</v>
      </c>
      <c r="P16" s="85">
        <f>'Holding Reg RW'!P16</f>
        <v>18720</v>
      </c>
      <c r="Q16" s="104" t="str">
        <f>'Holding Reg RW'!Q16</f>
        <v>Ch12</v>
      </c>
    </row>
    <row r="17" spans="1:17" s="103" customFormat="1" ht="15" customHeight="1">
      <c r="A17" s="81">
        <f>'Holding Reg RW'!A17</f>
        <v>0</v>
      </c>
      <c r="B17" s="81">
        <f>'Holding Reg RW'!B17</f>
        <v>100</v>
      </c>
      <c r="C17" s="81">
        <f>'Holding Reg RW'!C17</f>
        <v>1025</v>
      </c>
      <c r="D17" s="81">
        <f>'Holding Reg RW'!D17</f>
        <v>100</v>
      </c>
      <c r="E17" s="81">
        <f>'Holding Reg RW'!E17</f>
        <v>0</v>
      </c>
      <c r="F17" s="81">
        <f>'Holding Reg RW'!F17</f>
        <v>0</v>
      </c>
      <c r="G17" s="81">
        <f>'Holding Reg RW'!G17</f>
        <v>0</v>
      </c>
      <c r="H17" s="81">
        <f>'Holding Reg RW'!H17</f>
        <v>111</v>
      </c>
      <c r="I17" s="81">
        <f>'Holding Reg RW'!I17</f>
        <v>8000</v>
      </c>
      <c r="J17" s="81">
        <f>'Holding Reg RW'!J17</f>
        <v>0</v>
      </c>
      <c r="K17" s="82">
        <f>'Holding Reg RW'!K17</f>
        <v>0</v>
      </c>
      <c r="L17" s="81">
        <f>'Holding Reg RW'!L17</f>
        <v>6546</v>
      </c>
      <c r="M17" s="81">
        <f>'Holding Reg RW'!M17</f>
        <v>0</v>
      </c>
      <c r="N17" s="83">
        <f>'Holding Reg RW'!N17</f>
        <v>0</v>
      </c>
      <c r="O17" s="83">
        <f>'Holding Reg RW'!O17</f>
        <v>0</v>
      </c>
      <c r="P17" s="85">
        <f>'Holding Reg RW'!P17</f>
        <v>18720</v>
      </c>
      <c r="Q17" s="104" t="str">
        <f>'Holding Reg RW'!Q17</f>
        <v>Ch13</v>
      </c>
    </row>
    <row r="18" spans="1:17" s="103" customFormat="1" ht="15" customHeight="1">
      <c r="A18" s="81">
        <f>'Holding Reg RW'!A18</f>
        <v>0</v>
      </c>
      <c r="B18" s="81">
        <f>'Holding Reg RW'!B18</f>
        <v>100</v>
      </c>
      <c r="C18" s="81">
        <f>'Holding Reg RW'!C18</f>
        <v>1025</v>
      </c>
      <c r="D18" s="81">
        <f>'Holding Reg RW'!D18</f>
        <v>100</v>
      </c>
      <c r="E18" s="81">
        <f>'Holding Reg RW'!E18</f>
        <v>0</v>
      </c>
      <c r="F18" s="81">
        <f>'Holding Reg RW'!F18</f>
        <v>0</v>
      </c>
      <c r="G18" s="81">
        <f>'Holding Reg RW'!G18</f>
        <v>0</v>
      </c>
      <c r="H18" s="81">
        <f>'Holding Reg RW'!H18</f>
        <v>112</v>
      </c>
      <c r="I18" s="81">
        <f>'Holding Reg RW'!I18</f>
        <v>8000</v>
      </c>
      <c r="J18" s="81">
        <f>'Holding Reg RW'!J18</f>
        <v>0</v>
      </c>
      <c r="K18" s="82">
        <f>'Holding Reg RW'!K18</f>
        <v>0</v>
      </c>
      <c r="L18" s="81">
        <f>'Holding Reg RW'!L18</f>
        <v>6541</v>
      </c>
      <c r="M18" s="81">
        <f>'Holding Reg RW'!M18</f>
        <v>0</v>
      </c>
      <c r="N18" s="83">
        <f>'Holding Reg RW'!N18</f>
        <v>0</v>
      </c>
      <c r="O18" s="83">
        <f>'Holding Reg RW'!O18</f>
        <v>0</v>
      </c>
      <c r="P18" s="85">
        <f>'Holding Reg RW'!P18</f>
        <v>18720</v>
      </c>
      <c r="Q18" s="104" t="str">
        <f>'Holding Reg RW'!Q18</f>
        <v>Ch14</v>
      </c>
    </row>
    <row r="19" spans="1:17" s="103" customFormat="1" ht="15" customHeight="1">
      <c r="A19" s="81">
        <f>'Holding Reg RW'!A19</f>
        <v>0</v>
      </c>
      <c r="B19" s="81">
        <f>'Holding Reg RW'!B19</f>
        <v>100</v>
      </c>
      <c r="C19" s="81">
        <f>'Holding Reg RW'!C19</f>
        <v>1025</v>
      </c>
      <c r="D19" s="81">
        <f>'Holding Reg RW'!D19</f>
        <v>100</v>
      </c>
      <c r="E19" s="81">
        <f>'Holding Reg RW'!E19</f>
        <v>0</v>
      </c>
      <c r="F19" s="81">
        <f>'Holding Reg RW'!F19</f>
        <v>0</v>
      </c>
      <c r="G19" s="81">
        <f>'Holding Reg RW'!G19</f>
        <v>0</v>
      </c>
      <c r="H19" s="81">
        <f>'Holding Reg RW'!H19</f>
        <v>107</v>
      </c>
      <c r="I19" s="81">
        <f>'Holding Reg RW'!I19</f>
        <v>8000</v>
      </c>
      <c r="J19" s="81">
        <f>'Holding Reg RW'!J19</f>
        <v>0</v>
      </c>
      <c r="K19" s="82">
        <f>'Holding Reg RW'!K19</f>
        <v>0</v>
      </c>
      <c r="L19" s="81">
        <f>'Holding Reg RW'!L19</f>
        <v>6547</v>
      </c>
      <c r="M19" s="81">
        <f>'Holding Reg RW'!M19</f>
        <v>0</v>
      </c>
      <c r="N19" s="83">
        <f>'Holding Reg RW'!N19</f>
        <v>0</v>
      </c>
      <c r="O19" s="83">
        <f>'Holding Reg RW'!O19</f>
        <v>0</v>
      </c>
      <c r="P19" s="85">
        <f>'Holding Reg RW'!P19</f>
        <v>18720</v>
      </c>
      <c r="Q19" s="104" t="str">
        <f>'Holding Reg RW'!Q19</f>
        <v>Ch15</v>
      </c>
    </row>
    <row r="20" spans="1:17" s="103" customFormat="1" ht="15" customHeight="1">
      <c r="A20" s="81">
        <f>'Holding Reg RW'!A20</f>
        <v>1</v>
      </c>
      <c r="B20" s="81">
        <f>'Holding Reg RW'!B20</f>
        <v>100</v>
      </c>
      <c r="C20" s="81">
        <f>'Holding Reg RW'!C20</f>
        <v>1025</v>
      </c>
      <c r="D20" s="81">
        <f>'Holding Reg RW'!D20</f>
        <v>100</v>
      </c>
      <c r="E20" s="81">
        <f>'Holding Reg RW'!E20</f>
        <v>0</v>
      </c>
      <c r="F20" s="81">
        <f>'Holding Reg RW'!F20</f>
        <v>0</v>
      </c>
      <c r="G20" s="81">
        <f>'Holding Reg RW'!G20</f>
        <v>0</v>
      </c>
      <c r="H20" s="81">
        <f>'Holding Reg RW'!H20</f>
        <v>105</v>
      </c>
      <c r="I20" s="81">
        <f>'Holding Reg RW'!I20</f>
        <v>8000</v>
      </c>
      <c r="J20" s="81">
        <f>'Holding Reg RW'!J20</f>
        <v>0</v>
      </c>
      <c r="K20" s="82">
        <f>'Holding Reg RW'!K20</f>
        <v>0</v>
      </c>
      <c r="L20" s="81">
        <f>'Holding Reg RW'!L20</f>
        <v>504</v>
      </c>
      <c r="M20" s="81">
        <f>'Holding Reg RW'!M20</f>
        <v>0</v>
      </c>
      <c r="N20" s="83">
        <f>'Holding Reg RW'!N20</f>
        <v>0</v>
      </c>
      <c r="O20" s="83">
        <f>'Holding Reg RW'!O20</f>
        <v>0</v>
      </c>
      <c r="P20" s="85">
        <f>'Holding Reg RW'!P20</f>
        <v>18720</v>
      </c>
      <c r="Q20" s="104" t="str">
        <f>'Holding Reg RW'!Q20</f>
        <v>Ch16</v>
      </c>
    </row>
    <row r="21" spans="1:17" s="103" customFormat="1" ht="15" customHeight="1">
      <c r="A21" s="81">
        <f>'Holding Reg RW'!A21</f>
        <v>1</v>
      </c>
      <c r="B21" s="81">
        <f>'Holding Reg RW'!B21</f>
        <v>100</v>
      </c>
      <c r="C21" s="81">
        <f>'Holding Reg RW'!C21</f>
        <v>1025</v>
      </c>
      <c r="D21" s="81">
        <f>'Holding Reg RW'!D21</f>
        <v>100</v>
      </c>
      <c r="E21" s="81">
        <f>'Holding Reg RW'!E21</f>
        <v>0</v>
      </c>
      <c r="F21" s="81">
        <f>'Holding Reg RW'!F21</f>
        <v>0</v>
      </c>
      <c r="G21" s="81">
        <f>'Holding Reg RW'!G21</f>
        <v>0</v>
      </c>
      <c r="H21" s="81">
        <f>'Holding Reg RW'!H21</f>
        <v>0</v>
      </c>
      <c r="I21" s="81">
        <f>'Holding Reg RW'!I21</f>
        <v>8000</v>
      </c>
      <c r="J21" s="81">
        <f>'Holding Reg RW'!J21</f>
        <v>0</v>
      </c>
      <c r="K21" s="82">
        <f>'Holding Reg RW'!K21</f>
        <v>0</v>
      </c>
      <c r="L21" s="81">
        <f>'Holding Reg RW'!L21</f>
        <v>0</v>
      </c>
      <c r="M21" s="81">
        <f>'Holding Reg RW'!M21</f>
        <v>0</v>
      </c>
      <c r="N21" s="83">
        <f>'Holding Reg RW'!N21</f>
        <v>0</v>
      </c>
      <c r="O21" s="83">
        <f>'Holding Reg RW'!O21</f>
        <v>0</v>
      </c>
      <c r="P21" s="85">
        <f>'Holding Reg RW'!P21</f>
        <v>18720</v>
      </c>
      <c r="Q21" s="104" t="str">
        <f>'Holding Reg RW'!Q21</f>
        <v>Ch17</v>
      </c>
    </row>
    <row r="22" spans="1:17" s="103" customFormat="1" ht="15" customHeight="1">
      <c r="A22" s="81">
        <f>'Holding Reg RW'!A22</f>
        <v>1</v>
      </c>
      <c r="B22" s="81">
        <f>'Holding Reg RW'!B22</f>
        <v>100</v>
      </c>
      <c r="C22" s="81">
        <f>'Holding Reg RW'!C22</f>
        <v>1025</v>
      </c>
      <c r="D22" s="81">
        <f>'Holding Reg RW'!D22</f>
        <v>100</v>
      </c>
      <c r="E22" s="81">
        <f>'Holding Reg RW'!E22</f>
        <v>0</v>
      </c>
      <c r="F22" s="81">
        <f>'Holding Reg RW'!F22</f>
        <v>0</v>
      </c>
      <c r="G22" s="81">
        <f>'Holding Reg RW'!G22</f>
        <v>0</v>
      </c>
      <c r="H22" s="81">
        <f>'Holding Reg RW'!H22</f>
        <v>0</v>
      </c>
      <c r="I22" s="81">
        <f>'Holding Reg RW'!I22</f>
        <v>8000</v>
      </c>
      <c r="J22" s="81">
        <f>'Holding Reg RW'!J22</f>
        <v>0</v>
      </c>
      <c r="K22" s="82">
        <f>'Holding Reg RW'!K22</f>
        <v>0</v>
      </c>
      <c r="L22" s="81">
        <f>'Holding Reg RW'!L22</f>
        <v>170</v>
      </c>
      <c r="M22" s="81">
        <f>'Holding Reg RW'!M22</f>
        <v>0</v>
      </c>
      <c r="N22" s="83">
        <f>'Holding Reg RW'!N22</f>
        <v>0</v>
      </c>
      <c r="O22" s="83">
        <f>'Holding Reg RW'!O22</f>
        <v>0</v>
      </c>
      <c r="P22" s="85">
        <f>'Holding Reg RW'!P22</f>
        <v>18720</v>
      </c>
      <c r="Q22" s="104" t="str">
        <f>'Holding Reg RW'!Q22</f>
        <v>Ch18</v>
      </c>
    </row>
    <row r="23" spans="1:17" s="103" customFormat="1" ht="15" customHeight="1">
      <c r="A23" s="81">
        <f>'Holding Reg RW'!A23</f>
        <v>1</v>
      </c>
      <c r="B23" s="81">
        <f>'Holding Reg RW'!B23</f>
        <v>100</v>
      </c>
      <c r="C23" s="81">
        <f>'Holding Reg RW'!C23</f>
        <v>1025</v>
      </c>
      <c r="D23" s="81">
        <f>'Holding Reg RW'!D23</f>
        <v>100</v>
      </c>
      <c r="E23" s="81">
        <f>'Holding Reg RW'!E23</f>
        <v>0</v>
      </c>
      <c r="F23" s="81">
        <f>'Holding Reg RW'!F23</f>
        <v>0</v>
      </c>
      <c r="G23" s="81">
        <f>'Holding Reg RW'!G23</f>
        <v>0</v>
      </c>
      <c r="H23" s="81">
        <f>'Holding Reg RW'!H23</f>
        <v>0</v>
      </c>
      <c r="I23" s="81">
        <f>'Holding Reg RW'!I23</f>
        <v>8000</v>
      </c>
      <c r="J23" s="81">
        <f>'Holding Reg RW'!J23</f>
        <v>0</v>
      </c>
      <c r="K23" s="82">
        <f>'Holding Reg RW'!K23</f>
        <v>0</v>
      </c>
      <c r="L23" s="81">
        <f>'Holding Reg RW'!L23</f>
        <v>15</v>
      </c>
      <c r="M23" s="81">
        <f>'Holding Reg RW'!M23</f>
        <v>0</v>
      </c>
      <c r="N23" s="83">
        <f>'Holding Reg RW'!N23</f>
        <v>0</v>
      </c>
      <c r="O23" s="83">
        <f>'Holding Reg RW'!O23</f>
        <v>0</v>
      </c>
      <c r="P23" s="85">
        <f>'Holding Reg RW'!P23</f>
        <v>18720</v>
      </c>
      <c r="Q23" s="104" t="str">
        <f>'Holding Reg RW'!Q23</f>
        <v>Ch19</v>
      </c>
    </row>
    <row r="24" spans="1:17" s="103" customFormat="1" ht="15" customHeight="1">
      <c r="A24" s="81">
        <f>'Holding Reg RW'!A24</f>
        <v>1</v>
      </c>
      <c r="B24" s="81">
        <f>'Holding Reg RW'!B24</f>
        <v>100</v>
      </c>
      <c r="C24" s="81">
        <f>'Holding Reg RW'!C24</f>
        <v>1000</v>
      </c>
      <c r="D24" s="81">
        <f>'Holding Reg RW'!D24</f>
        <v>100</v>
      </c>
      <c r="E24" s="81">
        <f>'Holding Reg RW'!E24</f>
        <v>0</v>
      </c>
      <c r="F24" s="81">
        <f>'Holding Reg RW'!F24</f>
        <v>0</v>
      </c>
      <c r="G24" s="81">
        <f>'Holding Reg RW'!G24</f>
        <v>0</v>
      </c>
      <c r="H24" s="81">
        <f>'Holding Reg RW'!H24</f>
        <v>0</v>
      </c>
      <c r="I24" s="81">
        <f>'Holding Reg RW'!I24</f>
        <v>8000</v>
      </c>
      <c r="J24" s="81">
        <f>'Holding Reg RW'!J24</f>
        <v>0</v>
      </c>
      <c r="K24" s="82">
        <f>'Holding Reg RW'!K24</f>
        <v>0</v>
      </c>
      <c r="L24" s="81">
        <f>'Holding Reg RW'!L24</f>
        <v>0</v>
      </c>
      <c r="M24" s="81">
        <f>'Holding Reg RW'!M24</f>
        <v>0</v>
      </c>
      <c r="N24" s="83">
        <f>'Holding Reg RW'!N24</f>
        <v>0</v>
      </c>
      <c r="O24" s="83">
        <f>'Holding Reg RW'!O24</f>
        <v>0</v>
      </c>
      <c r="P24" s="85">
        <f>'Holding Reg RW'!P24</f>
        <v>18720</v>
      </c>
      <c r="Q24" s="104" t="str">
        <f>'Holding Reg RW'!Q24</f>
        <v>Ch20</v>
      </c>
    </row>
    <row r="25" spans="1:17" s="103" customFormat="1" ht="15" customHeight="1">
      <c r="A25" s="81">
        <f>'Holding Reg RW'!A25</f>
        <v>1</v>
      </c>
      <c r="B25" s="81">
        <f>'Holding Reg RW'!B25</f>
        <v>100</v>
      </c>
      <c r="C25" s="81">
        <f>'Holding Reg RW'!C25</f>
        <v>1000</v>
      </c>
      <c r="D25" s="81">
        <f>'Holding Reg RW'!D25</f>
        <v>100</v>
      </c>
      <c r="E25" s="81">
        <f>'Holding Reg RW'!E25</f>
        <v>0</v>
      </c>
      <c r="F25" s="81">
        <f>'Holding Reg RW'!F25</f>
        <v>0</v>
      </c>
      <c r="G25" s="81">
        <f>'Holding Reg RW'!G25</f>
        <v>0</v>
      </c>
      <c r="H25" s="81">
        <f>'Holding Reg RW'!H25</f>
        <v>0</v>
      </c>
      <c r="I25" s="81">
        <f>'Holding Reg RW'!I25</f>
        <v>8000</v>
      </c>
      <c r="J25" s="81">
        <f>'Holding Reg RW'!J25</f>
        <v>0</v>
      </c>
      <c r="K25" s="82">
        <f>'Holding Reg RW'!K25</f>
        <v>0</v>
      </c>
      <c r="L25" s="81">
        <f>'Holding Reg RW'!L25</f>
        <v>59</v>
      </c>
      <c r="M25" s="81">
        <f>'Holding Reg RW'!M25</f>
        <v>0</v>
      </c>
      <c r="N25" s="83">
        <f>'Holding Reg RW'!N25</f>
        <v>0</v>
      </c>
      <c r="O25" s="83">
        <f>'Holding Reg RW'!O25</f>
        <v>0</v>
      </c>
      <c r="P25" s="85">
        <f>'Holding Reg RW'!P25</f>
        <v>18720</v>
      </c>
      <c r="Q25" s="104" t="str">
        <f>'Holding Reg RW'!Q25</f>
        <v>Ch21</v>
      </c>
    </row>
    <row r="26" spans="1:17" s="103" customFormat="1" ht="15" customHeight="1">
      <c r="A26" s="81">
        <f>'Holding Reg RW'!A26</f>
        <v>1</v>
      </c>
      <c r="B26" s="81">
        <f>'Holding Reg RW'!B26</f>
        <v>0</v>
      </c>
      <c r="C26" s="81">
        <f>'Holding Reg RW'!C26</f>
        <v>0</v>
      </c>
      <c r="D26" s="81">
        <f>'Holding Reg RW'!D26</f>
        <v>0</v>
      </c>
      <c r="E26" s="81">
        <f>'Holding Reg RW'!E26</f>
        <v>0</v>
      </c>
      <c r="F26" s="81">
        <f>'Holding Reg RW'!F26</f>
        <v>0</v>
      </c>
      <c r="G26" s="81">
        <f>'Holding Reg RW'!G26</f>
        <v>0</v>
      </c>
      <c r="H26" s="81">
        <f>'Holding Reg RW'!H26</f>
        <v>0</v>
      </c>
      <c r="I26" s="81">
        <f>'Holding Reg RW'!I26</f>
        <v>0</v>
      </c>
      <c r="J26" s="81">
        <f>'Holding Reg RW'!J26</f>
        <v>0</v>
      </c>
      <c r="K26" s="82">
        <f>'Holding Reg RW'!K26</f>
        <v>0</v>
      </c>
      <c r="L26" s="81">
        <f>'Holding Reg RW'!L26</f>
        <v>12</v>
      </c>
      <c r="M26" s="81">
        <f>'Holding Reg RW'!M26</f>
        <v>0</v>
      </c>
      <c r="N26" s="83">
        <f>'Holding Reg RW'!N26</f>
        <v>0</v>
      </c>
      <c r="O26" s="83">
        <f>'Holding Reg RW'!O26</f>
        <v>0</v>
      </c>
      <c r="P26" s="85">
        <f>'Holding Reg RW'!P26</f>
        <v>0</v>
      </c>
      <c r="Q26" s="104" t="str">
        <f>'Holding Reg RW'!Q26</f>
        <v>Ch22</v>
      </c>
    </row>
    <row r="27" spans="1:17" s="103" customFormat="1" ht="15" customHeight="1">
      <c r="A27" s="81">
        <f>'Holding Reg RW'!A27</f>
        <v>1</v>
      </c>
      <c r="B27" s="81">
        <f>'Holding Reg RW'!B27</f>
        <v>0</v>
      </c>
      <c r="C27" s="81">
        <f>'Holding Reg RW'!C27</f>
        <v>0</v>
      </c>
      <c r="D27" s="81">
        <f>'Holding Reg RW'!D27</f>
        <v>0</v>
      </c>
      <c r="E27" s="81">
        <f>'Holding Reg RW'!E27</f>
        <v>0</v>
      </c>
      <c r="F27" s="81">
        <f>'Holding Reg RW'!F27</f>
        <v>0</v>
      </c>
      <c r="G27" s="81">
        <f>'Holding Reg RW'!G27</f>
        <v>0</v>
      </c>
      <c r="H27" s="81">
        <f>'Holding Reg RW'!H27</f>
        <v>0</v>
      </c>
      <c r="I27" s="81">
        <f>'Holding Reg RW'!I27</f>
        <v>0</v>
      </c>
      <c r="J27" s="81">
        <f>'Holding Reg RW'!J27</f>
        <v>0</v>
      </c>
      <c r="K27" s="82">
        <f>'Holding Reg RW'!K27</f>
        <v>0</v>
      </c>
      <c r="L27" s="81">
        <f>'Holding Reg RW'!L27</f>
        <v>13</v>
      </c>
      <c r="M27" s="81">
        <f>'Holding Reg RW'!M27</f>
        <v>0</v>
      </c>
      <c r="N27" s="83">
        <f>'Holding Reg RW'!N27</f>
        <v>0</v>
      </c>
      <c r="O27" s="83">
        <f>'Holding Reg RW'!O27</f>
        <v>0</v>
      </c>
      <c r="P27" s="85">
        <f>'Holding Reg RW'!P27</f>
        <v>0</v>
      </c>
      <c r="Q27" s="104" t="str">
        <f>'Holding Reg RW'!Q27</f>
        <v>Ch23</v>
      </c>
    </row>
    <row r="28" spans="1:17" s="103" customFormat="1" ht="15" customHeight="1">
      <c r="A28" s="81">
        <f>'Holding Reg RW'!A28</f>
        <v>1</v>
      </c>
      <c r="B28" s="81">
        <f>'Holding Reg RW'!B28</f>
        <v>0</v>
      </c>
      <c r="C28" s="81">
        <f>'Holding Reg RW'!C28</f>
        <v>0</v>
      </c>
      <c r="D28" s="81">
        <f>'Holding Reg RW'!D28</f>
        <v>0</v>
      </c>
      <c r="E28" s="81">
        <f>'Holding Reg RW'!E28</f>
        <v>0</v>
      </c>
      <c r="F28" s="81">
        <f>'Holding Reg RW'!F28</f>
        <v>0</v>
      </c>
      <c r="G28" s="81">
        <f>'Holding Reg RW'!G28</f>
        <v>0</v>
      </c>
      <c r="H28" s="81">
        <f>'Holding Reg RW'!H28</f>
        <v>0</v>
      </c>
      <c r="I28" s="81">
        <f>'Holding Reg RW'!I28</f>
        <v>0</v>
      </c>
      <c r="J28" s="81">
        <f>'Holding Reg RW'!J28</f>
        <v>0</v>
      </c>
      <c r="K28" s="82">
        <f>'Holding Reg RW'!K28</f>
        <v>0</v>
      </c>
      <c r="L28" s="81">
        <f>'Holding Reg RW'!L28</f>
        <v>0</v>
      </c>
      <c r="M28" s="81">
        <f>'Holding Reg RW'!M28</f>
        <v>0</v>
      </c>
      <c r="N28" s="83">
        <f>'Holding Reg RW'!N28</f>
        <v>0</v>
      </c>
      <c r="O28" s="83">
        <f>'Holding Reg RW'!O28</f>
        <v>0</v>
      </c>
      <c r="P28" s="85">
        <f>'Holding Reg RW'!P28</f>
        <v>0</v>
      </c>
      <c r="Q28" s="104" t="str">
        <f>'Holding Reg RW'!Q28</f>
        <v>Ch24</v>
      </c>
    </row>
    <row r="29" spans="1:17" s="103" customFormat="1" ht="15" customHeight="1">
      <c r="A29" s="81">
        <f>'Holding Reg RW'!A29</f>
        <v>1</v>
      </c>
      <c r="B29" s="81">
        <f>'Holding Reg RW'!B29</f>
        <v>0</v>
      </c>
      <c r="C29" s="81">
        <f>'Holding Reg RW'!C29</f>
        <v>0</v>
      </c>
      <c r="D29" s="81">
        <f>'Holding Reg RW'!D29</f>
        <v>0</v>
      </c>
      <c r="E29" s="81">
        <f>'Holding Reg RW'!E29</f>
        <v>0</v>
      </c>
      <c r="F29" s="81">
        <f>'Holding Reg RW'!F29</f>
        <v>0</v>
      </c>
      <c r="G29" s="81">
        <f>'Holding Reg RW'!G29</f>
        <v>0</v>
      </c>
      <c r="H29" s="81">
        <f>'Holding Reg RW'!H29</f>
        <v>0</v>
      </c>
      <c r="I29" s="81">
        <f>'Holding Reg RW'!I29</f>
        <v>0</v>
      </c>
      <c r="J29" s="81">
        <f>'Holding Reg RW'!J29</f>
        <v>0</v>
      </c>
      <c r="K29" s="82">
        <f>'Holding Reg RW'!K29</f>
        <v>0</v>
      </c>
      <c r="L29" s="81">
        <f>'Holding Reg RW'!L29</f>
        <v>219</v>
      </c>
      <c r="M29" s="81">
        <f>'Holding Reg RW'!M29</f>
        <v>0</v>
      </c>
      <c r="N29" s="83">
        <f>'Holding Reg RW'!N29</f>
        <v>0</v>
      </c>
      <c r="O29" s="83">
        <f>'Holding Reg RW'!O29</f>
        <v>0</v>
      </c>
      <c r="P29" s="85">
        <f>'Holding Reg RW'!P29</f>
        <v>0</v>
      </c>
      <c r="Q29" s="104" t="str">
        <f>'Holding Reg RW'!Q29</f>
        <v>Ch25</v>
      </c>
    </row>
    <row r="30" spans="1:17" s="103" customFormat="1" ht="15" customHeight="1">
      <c r="A30" s="81">
        <f>'Holding Reg RW'!A30</f>
        <v>1</v>
      </c>
      <c r="B30" s="81">
        <f>'Holding Reg RW'!B30</f>
        <v>0</v>
      </c>
      <c r="C30" s="81">
        <f>'Holding Reg RW'!C30</f>
        <v>0</v>
      </c>
      <c r="D30" s="81">
        <f>'Holding Reg RW'!D30</f>
        <v>0</v>
      </c>
      <c r="E30" s="81">
        <f>'Holding Reg RW'!E30</f>
        <v>0</v>
      </c>
      <c r="F30" s="81">
        <f>'Holding Reg RW'!F30</f>
        <v>0</v>
      </c>
      <c r="G30" s="81">
        <f>'Holding Reg RW'!G30</f>
        <v>0</v>
      </c>
      <c r="H30" s="81">
        <f>'Holding Reg RW'!H30</f>
        <v>0</v>
      </c>
      <c r="I30" s="81">
        <f>'Holding Reg RW'!I30</f>
        <v>0</v>
      </c>
      <c r="J30" s="81">
        <f>'Holding Reg RW'!J30</f>
        <v>0</v>
      </c>
      <c r="K30" s="82">
        <f>'Holding Reg RW'!K30</f>
        <v>0</v>
      </c>
      <c r="L30" s="81">
        <f>'Holding Reg RW'!L30</f>
        <v>0</v>
      </c>
      <c r="M30" s="81">
        <f>'Holding Reg RW'!M30</f>
        <v>0</v>
      </c>
      <c r="N30" s="83">
        <f>'Holding Reg RW'!N30</f>
        <v>0</v>
      </c>
      <c r="O30" s="83">
        <f>'Holding Reg RW'!O30</f>
        <v>0</v>
      </c>
      <c r="P30" s="85">
        <f>'Holding Reg RW'!P30</f>
        <v>0</v>
      </c>
      <c r="Q30" s="104" t="str">
        <f>'Holding Reg RW'!Q30</f>
        <v>Ch26</v>
      </c>
    </row>
    <row r="31" spans="1:17" s="103" customFormat="1" ht="15" customHeight="1">
      <c r="A31" s="81">
        <f>'Holding Reg RW'!A31</f>
        <v>1</v>
      </c>
      <c r="B31" s="81">
        <f>'Holding Reg RW'!B31</f>
        <v>0</v>
      </c>
      <c r="C31" s="81">
        <f>'Holding Reg RW'!C31</f>
        <v>0</v>
      </c>
      <c r="D31" s="81">
        <f>'Holding Reg RW'!D31</f>
        <v>0</v>
      </c>
      <c r="E31" s="81">
        <f>'Holding Reg RW'!E31</f>
        <v>0</v>
      </c>
      <c r="F31" s="81">
        <f>'Holding Reg RW'!F31</f>
        <v>0</v>
      </c>
      <c r="G31" s="81">
        <f>'Holding Reg RW'!G31</f>
        <v>0</v>
      </c>
      <c r="H31" s="81">
        <f>'Holding Reg RW'!H31</f>
        <v>0</v>
      </c>
      <c r="I31" s="81">
        <f>'Holding Reg RW'!I31</f>
        <v>0</v>
      </c>
      <c r="J31" s="81">
        <f>'Holding Reg RW'!J31</f>
        <v>0</v>
      </c>
      <c r="K31" s="82">
        <f>'Holding Reg RW'!K31</f>
        <v>0</v>
      </c>
      <c r="L31" s="81">
        <f>'Holding Reg RW'!L31</f>
        <v>15</v>
      </c>
      <c r="M31" s="81">
        <f>'Holding Reg RW'!M31</f>
        <v>0</v>
      </c>
      <c r="N31" s="83">
        <f>'Holding Reg RW'!N31</f>
        <v>0</v>
      </c>
      <c r="O31" s="83">
        <f>'Holding Reg RW'!O31</f>
        <v>0</v>
      </c>
      <c r="P31" s="85">
        <f>'Holding Reg RW'!P31</f>
        <v>0</v>
      </c>
      <c r="Q31" s="104" t="str">
        <f>'Holding Reg RW'!Q31</f>
        <v>Ch27</v>
      </c>
    </row>
    <row r="32" spans="1:17" s="103" customFormat="1" ht="15" customHeight="1">
      <c r="A32" s="81">
        <f>'Holding Reg RW'!A32</f>
        <v>1</v>
      </c>
      <c r="B32" s="81">
        <f>'Holding Reg RW'!B32</f>
        <v>0</v>
      </c>
      <c r="C32" s="81">
        <f>'Holding Reg RW'!C32</f>
        <v>0</v>
      </c>
      <c r="D32" s="81">
        <f>'Holding Reg RW'!D32</f>
        <v>0</v>
      </c>
      <c r="E32" s="81">
        <f>'Holding Reg RW'!E32</f>
        <v>0</v>
      </c>
      <c r="F32" s="81">
        <f>'Holding Reg RW'!F32</f>
        <v>0</v>
      </c>
      <c r="G32" s="81">
        <f>'Holding Reg RW'!G32</f>
        <v>0</v>
      </c>
      <c r="H32" s="81">
        <f>'Holding Reg RW'!H32</f>
        <v>0</v>
      </c>
      <c r="I32" s="81">
        <f>'Holding Reg RW'!I32</f>
        <v>0</v>
      </c>
      <c r="J32" s="81">
        <f>'Holding Reg RW'!J32</f>
        <v>0</v>
      </c>
      <c r="K32" s="82">
        <f>'Holding Reg RW'!K32</f>
        <v>0</v>
      </c>
      <c r="L32" s="81">
        <f>'Holding Reg RW'!L32</f>
        <v>173</v>
      </c>
      <c r="M32" s="81">
        <f>'Holding Reg RW'!M32</f>
        <v>0</v>
      </c>
      <c r="N32" s="83">
        <f>'Holding Reg RW'!N32</f>
        <v>0</v>
      </c>
      <c r="O32" s="83">
        <f>'Holding Reg RW'!O32</f>
        <v>0</v>
      </c>
      <c r="P32" s="85">
        <f>'Holding Reg RW'!P32</f>
        <v>0</v>
      </c>
      <c r="Q32" s="104" t="str">
        <f>'Holding Reg RW'!Q32</f>
        <v>Ch28</v>
      </c>
    </row>
    <row r="33" spans="1:17" s="103" customFormat="1" ht="15" customHeight="1">
      <c r="A33" s="81">
        <f>'Holding Reg RW'!A33</f>
        <v>1</v>
      </c>
      <c r="B33" s="81">
        <f>'Holding Reg RW'!B33</f>
        <v>0</v>
      </c>
      <c r="C33" s="81">
        <f>'Holding Reg RW'!C33</f>
        <v>0</v>
      </c>
      <c r="D33" s="81">
        <f>'Holding Reg RW'!D33</f>
        <v>0</v>
      </c>
      <c r="E33" s="81">
        <f>'Holding Reg RW'!E33</f>
        <v>0</v>
      </c>
      <c r="F33" s="81">
        <f>'Holding Reg RW'!F33</f>
        <v>0</v>
      </c>
      <c r="G33" s="81">
        <f>'Holding Reg RW'!G33</f>
        <v>0</v>
      </c>
      <c r="H33" s="81">
        <f>'Holding Reg RW'!H33</f>
        <v>0</v>
      </c>
      <c r="I33" s="81">
        <f>'Holding Reg RW'!I33</f>
        <v>0</v>
      </c>
      <c r="J33" s="81">
        <f>'Holding Reg RW'!J33</f>
        <v>0</v>
      </c>
      <c r="K33" s="82">
        <f>'Holding Reg RW'!K33</f>
        <v>0</v>
      </c>
      <c r="L33" s="81">
        <f>'Holding Reg RW'!L33</f>
        <v>208</v>
      </c>
      <c r="M33" s="81">
        <f>'Holding Reg RW'!M33</f>
        <v>0</v>
      </c>
      <c r="N33" s="83">
        <f>'Holding Reg RW'!N33</f>
        <v>0</v>
      </c>
      <c r="O33" s="83">
        <f>'Holding Reg RW'!O33</f>
        <v>0</v>
      </c>
      <c r="P33" s="85">
        <f>'Holding Reg RW'!P33</f>
        <v>0</v>
      </c>
      <c r="Q33" s="104" t="str">
        <f>'Holding Reg RW'!Q33</f>
        <v>Ch29</v>
      </c>
    </row>
    <row r="34" spans="1:17" s="103" customFormat="1" ht="15" customHeight="1">
      <c r="A34" s="81">
        <f>'Holding Reg RW'!A34</f>
        <v>1</v>
      </c>
      <c r="B34" s="81">
        <f>'Holding Reg RW'!B34</f>
        <v>0</v>
      </c>
      <c r="C34" s="81">
        <f>'Holding Reg RW'!C34</f>
        <v>0</v>
      </c>
      <c r="D34" s="81">
        <f>'Holding Reg RW'!D34</f>
        <v>0</v>
      </c>
      <c r="E34" s="81">
        <f>'Holding Reg RW'!E34</f>
        <v>0</v>
      </c>
      <c r="F34" s="81">
        <f>'Holding Reg RW'!F34</f>
        <v>0</v>
      </c>
      <c r="G34" s="81">
        <f>'Holding Reg RW'!G34</f>
        <v>0</v>
      </c>
      <c r="H34" s="81">
        <f>'Holding Reg RW'!H34</f>
        <v>0</v>
      </c>
      <c r="I34" s="81">
        <f>'Holding Reg RW'!I34</f>
        <v>0</v>
      </c>
      <c r="J34" s="81">
        <f>'Holding Reg RW'!J34</f>
        <v>0</v>
      </c>
      <c r="K34" s="82">
        <f>'Holding Reg RW'!K34</f>
        <v>0</v>
      </c>
      <c r="L34" s="81">
        <f>'Holding Reg RW'!L34</f>
        <v>1271</v>
      </c>
      <c r="M34" s="81">
        <f>'Holding Reg RW'!M34</f>
        <v>0</v>
      </c>
      <c r="N34" s="83">
        <f>'Holding Reg RW'!N34</f>
        <v>0</v>
      </c>
      <c r="O34" s="83">
        <f>'Holding Reg RW'!O34</f>
        <v>0</v>
      </c>
      <c r="P34" s="85">
        <f>'Holding Reg RW'!P34</f>
        <v>0</v>
      </c>
      <c r="Q34" s="104" t="str">
        <f>'Holding Reg RW'!Q34</f>
        <v>Ch30</v>
      </c>
    </row>
    <row r="35" spans="1:17" s="103" customFormat="1" ht="15" customHeight="1">
      <c r="A35" s="81">
        <f>'Holding Reg RW'!A35</f>
        <v>0</v>
      </c>
      <c r="B35" s="81">
        <f>'Holding Reg RW'!B35</f>
        <v>0</v>
      </c>
      <c r="C35" s="81">
        <f>'Holding Reg RW'!C35</f>
        <v>0</v>
      </c>
      <c r="D35" s="81">
        <f>'Holding Reg RW'!D35</f>
        <v>0</v>
      </c>
      <c r="E35" s="81">
        <f>'Holding Reg RW'!E35</f>
        <v>0</v>
      </c>
      <c r="F35" s="81">
        <f>'Holding Reg RW'!F35</f>
        <v>0</v>
      </c>
      <c r="G35" s="81">
        <f>'Holding Reg RW'!G35</f>
        <v>0</v>
      </c>
      <c r="H35" s="81">
        <f>'Holding Reg RW'!H35</f>
        <v>0</v>
      </c>
      <c r="I35" s="81">
        <f>'Holding Reg RW'!I35</f>
        <v>10170</v>
      </c>
      <c r="J35" s="81">
        <f>'Holding Reg RW'!J35</f>
        <v>0</v>
      </c>
      <c r="K35" s="82">
        <f>'Holding Reg RW'!K35</f>
        <v>9665</v>
      </c>
      <c r="L35" s="81">
        <f>'Holding Reg RW'!L35</f>
        <v>31051</v>
      </c>
      <c r="M35" s="81">
        <f>'Holding Reg RW'!M35</f>
        <v>0</v>
      </c>
      <c r="N35" s="83">
        <f>'Holding Reg RW'!N35</f>
        <v>0</v>
      </c>
      <c r="O35" s="83">
        <f>'Holding Reg RW'!O35</f>
        <v>0</v>
      </c>
      <c r="P35" s="85">
        <f>'Holding Reg RW'!P35</f>
        <v>32331</v>
      </c>
      <c r="Q35" s="104" t="str">
        <f>'Holding Reg RW'!Q35</f>
        <v>Ch31</v>
      </c>
    </row>
    <row r="36" spans="1:17" s="103" customFormat="1" ht="15" customHeight="1">
      <c r="A36" s="81">
        <f>'Holding Reg RW'!A36</f>
        <v>0</v>
      </c>
      <c r="B36" s="81">
        <f>'Holding Reg RW'!B36</f>
        <v>0</v>
      </c>
      <c r="C36" s="81">
        <f>'Holding Reg RW'!C36</f>
        <v>0</v>
      </c>
      <c r="D36" s="81">
        <f>'Holding Reg RW'!D36</f>
        <v>0</v>
      </c>
      <c r="E36" s="81">
        <f>'Holding Reg RW'!E36</f>
        <v>0</v>
      </c>
      <c r="F36" s="81">
        <f>'Holding Reg RW'!F36</f>
        <v>0</v>
      </c>
      <c r="G36" s="81">
        <f>'Holding Reg RW'!G36</f>
        <v>0</v>
      </c>
      <c r="H36" s="81">
        <f>'Holding Reg RW'!H36</f>
        <v>0</v>
      </c>
      <c r="I36" s="81">
        <f>'Holding Reg RW'!I36</f>
        <v>10170</v>
      </c>
      <c r="J36" s="81">
        <f>'Holding Reg RW'!J36</f>
        <v>0</v>
      </c>
      <c r="K36" s="82">
        <f>'Holding Reg RW'!K36</f>
        <v>9659</v>
      </c>
      <c r="L36" s="81">
        <f>'Holding Reg RW'!L36</f>
        <v>31037</v>
      </c>
      <c r="M36" s="81">
        <f>'Holding Reg RW'!M36</f>
        <v>0</v>
      </c>
      <c r="N36" s="83">
        <f>'Holding Reg RW'!N36</f>
        <v>0</v>
      </c>
      <c r="O36" s="83">
        <f>'Holding Reg RW'!O36</f>
        <v>0</v>
      </c>
      <c r="P36" s="85">
        <f>'Holding Reg RW'!P36</f>
        <v>32331</v>
      </c>
      <c r="Q36" s="104" t="str">
        <f>'Holding Reg RW'!Q36</f>
        <v>Ch32</v>
      </c>
    </row>
    <row r="40" spans="1:17" ht="14.25"/>
    <row r="41" spans="1:17" ht="14.25"/>
    <row r="42" spans="1:17" ht="14.25"/>
    <row r="43" spans="1:17" ht="14.25"/>
    <row r="44" spans="1:17" ht="14.25"/>
    <row r="45" spans="1:17" ht="14.25"/>
    <row r="46" spans="1:17" ht="14.25"/>
    <row r="47" spans="1:17" ht="14.25"/>
    <row r="48" spans="1:17" ht="14.25"/>
    <row r="49" ht="14.25"/>
    <row r="50" ht="14.25"/>
    <row r="51" ht="14.25"/>
    <row r="52" ht="14.25"/>
    <row r="53" ht="14.25"/>
    <row r="54" ht="14.25"/>
    <row r="55" ht="14.25"/>
    <row r="56" ht="14.25"/>
    <row r="57" ht="14.25"/>
    <row r="58" ht="14.25"/>
    <row r="59" ht="14.25"/>
    <row r="60" ht="14.25"/>
    <row r="61" ht="14.25"/>
    <row r="62" ht="14.25"/>
    <row r="63" ht="14.25"/>
    <row r="64" ht="14.25"/>
    <row r="65" ht="14.25"/>
    <row r="66" ht="14.25"/>
    <row r="67" ht="14.25"/>
    <row r="68" ht="14.25"/>
    <row r="69" ht="14.25"/>
    <row r="70" ht="14.25"/>
    <row r="71" ht="14.25"/>
    <row r="72" ht="14.25"/>
    <row r="73" ht="14.25"/>
  </sheetData>
  <mergeCells count="1">
    <mergeCell ref="A1:O2"/>
  </mergeCells>
  <phoneticPr fontId="4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2:R76"/>
  <sheetViews>
    <sheetView topLeftCell="A13" workbookViewId="0">
      <selection activeCell="L40" sqref="L40"/>
    </sheetView>
  </sheetViews>
  <sheetFormatPr baseColWidth="10" defaultColWidth="9.140625" defaultRowHeight="12.75"/>
  <cols>
    <col min="1" max="1" width="3.85546875" customWidth="1"/>
  </cols>
  <sheetData>
    <row r="2" spans="2:18" ht="25.5" customHeight="1">
      <c r="B2" s="89" t="s">
        <v>176</v>
      </c>
      <c r="C2" s="89" t="s">
        <v>16</v>
      </c>
      <c r="D2" s="89" t="s">
        <v>177</v>
      </c>
      <c r="E2" s="89" t="s">
        <v>178</v>
      </c>
      <c r="F2" s="89" t="s">
        <v>179</v>
      </c>
      <c r="G2" s="89" t="s">
        <v>180</v>
      </c>
      <c r="H2" s="89" t="s">
        <v>181</v>
      </c>
      <c r="I2" s="89" t="s">
        <v>182</v>
      </c>
      <c r="J2" s="89" t="s">
        <v>183</v>
      </c>
      <c r="K2" s="89" t="s">
        <v>184</v>
      </c>
      <c r="L2" s="89" t="s">
        <v>185</v>
      </c>
      <c r="M2" s="89" t="s">
        <v>186</v>
      </c>
      <c r="N2" s="89" t="s">
        <v>187</v>
      </c>
      <c r="O2" s="89" t="s">
        <v>188</v>
      </c>
      <c r="P2" s="89" t="s">
        <v>196</v>
      </c>
      <c r="Q2" s="90" t="s">
        <v>193</v>
      </c>
      <c r="R2" s="101">
        <v>0</v>
      </c>
    </row>
    <row r="3" spans="2:18" ht="14.25">
      <c r="B3" s="86">
        <v>201</v>
      </c>
      <c r="C3" s="87">
        <v>301</v>
      </c>
      <c r="D3" s="87">
        <v>401</v>
      </c>
      <c r="E3" s="87">
        <v>501</v>
      </c>
      <c r="F3" s="87">
        <v>601</v>
      </c>
      <c r="G3" s="87">
        <v>701</v>
      </c>
      <c r="H3" s="87">
        <v>801</v>
      </c>
      <c r="I3" s="87">
        <v>901</v>
      </c>
      <c r="J3" s="87">
        <v>1001</v>
      </c>
      <c r="K3" s="87">
        <v>1101</v>
      </c>
      <c r="L3" s="87">
        <v>2501</v>
      </c>
      <c r="M3" s="87">
        <v>2601</v>
      </c>
      <c r="N3" s="87">
        <v>2701</v>
      </c>
      <c r="O3" s="88">
        <v>2801</v>
      </c>
      <c r="P3" s="88">
        <v>2901</v>
      </c>
      <c r="Q3" s="84">
        <v>3001</v>
      </c>
      <c r="R3" s="102" t="s">
        <v>189</v>
      </c>
    </row>
    <row r="4" spans="2:18">
      <c r="B4" s="81">
        <v>0</v>
      </c>
      <c r="C4" s="81">
        <v>0</v>
      </c>
      <c r="D4" s="81">
        <v>1000</v>
      </c>
      <c r="E4" s="81">
        <v>0</v>
      </c>
      <c r="F4" s="81">
        <v>0</v>
      </c>
      <c r="G4" s="81">
        <v>0</v>
      </c>
      <c r="H4" s="81">
        <v>0</v>
      </c>
      <c r="I4" s="81">
        <v>91</v>
      </c>
      <c r="J4" s="81">
        <v>34474</v>
      </c>
      <c r="K4" s="81">
        <v>6558</v>
      </c>
      <c r="L4" s="82">
        <v>0</v>
      </c>
      <c r="M4" s="81">
        <v>6552</v>
      </c>
      <c r="N4" s="81">
        <v>295</v>
      </c>
      <c r="O4" s="83">
        <v>0</v>
      </c>
      <c r="P4" s="83">
        <v>0</v>
      </c>
      <c r="Q4" s="85">
        <v>16990</v>
      </c>
      <c r="R4" s="104" t="s">
        <v>190</v>
      </c>
    </row>
    <row r="5" spans="2:18">
      <c r="B5" s="81">
        <v>0</v>
      </c>
      <c r="C5" s="81">
        <v>0</v>
      </c>
      <c r="D5" s="81">
        <v>1000</v>
      </c>
      <c r="E5" s="81">
        <v>0</v>
      </c>
      <c r="F5" s="81">
        <v>0</v>
      </c>
      <c r="G5" s="81">
        <v>0</v>
      </c>
      <c r="H5" s="81">
        <v>0</v>
      </c>
      <c r="I5" s="81">
        <v>90</v>
      </c>
      <c r="J5" s="81">
        <v>34474</v>
      </c>
      <c r="K5" s="81">
        <v>6558</v>
      </c>
      <c r="L5" s="82">
        <v>0</v>
      </c>
      <c r="M5" s="81">
        <v>6552</v>
      </c>
      <c r="N5" s="81">
        <v>288</v>
      </c>
      <c r="O5" s="83">
        <v>0</v>
      </c>
      <c r="P5" s="83">
        <v>0</v>
      </c>
      <c r="Q5" s="85">
        <v>16990</v>
      </c>
      <c r="R5" s="104" t="s">
        <v>130</v>
      </c>
    </row>
    <row r="6" spans="2:18">
      <c r="B6" s="81">
        <v>0</v>
      </c>
      <c r="C6" s="81">
        <v>0</v>
      </c>
      <c r="D6" s="81">
        <v>1000</v>
      </c>
      <c r="E6" s="81">
        <v>0</v>
      </c>
      <c r="F6" s="81">
        <v>0</v>
      </c>
      <c r="G6" s="81">
        <v>0</v>
      </c>
      <c r="H6" s="81">
        <v>0</v>
      </c>
      <c r="I6" s="81">
        <v>91</v>
      </c>
      <c r="J6" s="81">
        <v>34474</v>
      </c>
      <c r="K6" s="81">
        <v>6559</v>
      </c>
      <c r="L6" s="82">
        <v>0</v>
      </c>
      <c r="M6" s="81">
        <v>6554</v>
      </c>
      <c r="N6" s="81">
        <v>292</v>
      </c>
      <c r="O6" s="83">
        <v>0</v>
      </c>
      <c r="P6" s="83">
        <v>0</v>
      </c>
      <c r="Q6" s="85">
        <v>16990</v>
      </c>
      <c r="R6" s="104" t="s">
        <v>131</v>
      </c>
    </row>
    <row r="7" spans="2:18">
      <c r="B7" s="81">
        <v>0</v>
      </c>
      <c r="C7" s="81">
        <v>0</v>
      </c>
      <c r="D7" s="81">
        <v>1000</v>
      </c>
      <c r="E7" s="81">
        <v>0</v>
      </c>
      <c r="F7" s="81">
        <v>0</v>
      </c>
      <c r="G7" s="81">
        <v>0</v>
      </c>
      <c r="H7" s="81">
        <v>0</v>
      </c>
      <c r="I7" s="81">
        <v>92</v>
      </c>
      <c r="J7" s="81">
        <v>34474</v>
      </c>
      <c r="K7" s="81">
        <v>6559</v>
      </c>
      <c r="L7" s="82">
        <v>0</v>
      </c>
      <c r="M7" s="81">
        <v>6553</v>
      </c>
      <c r="N7" s="81">
        <v>296</v>
      </c>
      <c r="O7" s="83">
        <v>0</v>
      </c>
      <c r="P7" s="83">
        <v>0</v>
      </c>
      <c r="Q7" s="85">
        <v>16990</v>
      </c>
      <c r="R7" s="104" t="s">
        <v>132</v>
      </c>
    </row>
    <row r="8" spans="2:18">
      <c r="B8" s="81">
        <v>0</v>
      </c>
      <c r="C8" s="81">
        <v>10301</v>
      </c>
      <c r="D8" s="81">
        <v>1000</v>
      </c>
      <c r="E8" s="81">
        <v>0</v>
      </c>
      <c r="F8" s="81">
        <v>0</v>
      </c>
      <c r="G8" s="81">
        <v>0</v>
      </c>
      <c r="H8" s="81">
        <v>0</v>
      </c>
      <c r="I8" s="81">
        <v>100</v>
      </c>
      <c r="J8" s="81">
        <v>34474</v>
      </c>
      <c r="K8" s="81">
        <v>21922</v>
      </c>
      <c r="L8" s="82">
        <v>10105</v>
      </c>
      <c r="M8" s="81">
        <v>21922</v>
      </c>
      <c r="N8" s="81">
        <v>890</v>
      </c>
      <c r="O8" s="83">
        <v>0</v>
      </c>
      <c r="P8" s="83">
        <v>0</v>
      </c>
      <c r="Q8" s="85">
        <v>40009</v>
      </c>
      <c r="R8" s="104" t="s">
        <v>133</v>
      </c>
    </row>
    <row r="9" spans="2:18">
      <c r="B9" s="81">
        <v>0</v>
      </c>
      <c r="C9" s="81">
        <v>0</v>
      </c>
      <c r="D9" s="81">
        <v>1000</v>
      </c>
      <c r="E9" s="81">
        <v>0</v>
      </c>
      <c r="F9" s="81">
        <v>0</v>
      </c>
      <c r="G9" s="81">
        <v>0</v>
      </c>
      <c r="H9" s="81">
        <v>0</v>
      </c>
      <c r="I9" s="81">
        <v>92</v>
      </c>
      <c r="J9" s="81">
        <v>34474</v>
      </c>
      <c r="K9" s="81">
        <v>6561</v>
      </c>
      <c r="L9" s="82">
        <v>0</v>
      </c>
      <c r="M9" s="81">
        <v>6554</v>
      </c>
      <c r="N9" s="81">
        <v>293</v>
      </c>
      <c r="O9" s="83">
        <v>0</v>
      </c>
      <c r="P9" s="83">
        <v>0</v>
      </c>
      <c r="Q9" s="85">
        <v>16990</v>
      </c>
      <c r="R9" s="104" t="s">
        <v>134</v>
      </c>
    </row>
    <row r="10" spans="2:18">
      <c r="B10" s="81">
        <v>0</v>
      </c>
      <c r="C10" s="81">
        <v>0</v>
      </c>
      <c r="D10" s="81">
        <v>1000</v>
      </c>
      <c r="E10" s="81">
        <v>0</v>
      </c>
      <c r="F10" s="81">
        <v>0</v>
      </c>
      <c r="G10" s="81">
        <v>0</v>
      </c>
      <c r="H10" s="81">
        <v>0</v>
      </c>
      <c r="I10" s="81">
        <v>90</v>
      </c>
      <c r="J10" s="81">
        <v>34474</v>
      </c>
      <c r="K10" s="81">
        <v>6559</v>
      </c>
      <c r="L10" s="82">
        <v>0</v>
      </c>
      <c r="M10" s="81">
        <v>6555</v>
      </c>
      <c r="N10" s="81">
        <v>295</v>
      </c>
      <c r="O10" s="83">
        <v>0</v>
      </c>
      <c r="P10" s="83">
        <v>0</v>
      </c>
      <c r="Q10" s="85">
        <v>16990</v>
      </c>
      <c r="R10" s="104" t="s">
        <v>135</v>
      </c>
    </row>
    <row r="11" spans="2:18">
      <c r="B11" s="81">
        <v>0</v>
      </c>
      <c r="C11" s="81">
        <v>0</v>
      </c>
      <c r="D11" s="81">
        <v>1000</v>
      </c>
      <c r="E11" s="81">
        <v>0</v>
      </c>
      <c r="F11" s="81">
        <v>0</v>
      </c>
      <c r="G11" s="81">
        <v>0</v>
      </c>
      <c r="H11" s="81">
        <v>0</v>
      </c>
      <c r="I11" s="81">
        <v>94</v>
      </c>
      <c r="J11" s="81">
        <v>34474</v>
      </c>
      <c r="K11" s="81">
        <v>6565</v>
      </c>
      <c r="L11" s="82">
        <v>0</v>
      </c>
      <c r="M11" s="81">
        <v>6552</v>
      </c>
      <c r="N11" s="81">
        <v>286</v>
      </c>
      <c r="O11" s="83">
        <v>0</v>
      </c>
      <c r="P11" s="83">
        <v>0</v>
      </c>
      <c r="Q11" s="85">
        <v>16990</v>
      </c>
      <c r="R11" s="104" t="s">
        <v>136</v>
      </c>
    </row>
    <row r="12" spans="2:18">
      <c r="B12" s="81">
        <v>0</v>
      </c>
      <c r="C12" s="81">
        <v>0</v>
      </c>
      <c r="D12" s="81">
        <v>1000</v>
      </c>
      <c r="E12" s="81">
        <v>0</v>
      </c>
      <c r="F12" s="81">
        <v>0</v>
      </c>
      <c r="G12" s="81">
        <v>0</v>
      </c>
      <c r="H12" s="81">
        <v>0</v>
      </c>
      <c r="I12" s="81">
        <v>88</v>
      </c>
      <c r="J12" s="81">
        <v>34474</v>
      </c>
      <c r="K12" s="81">
        <v>6562</v>
      </c>
      <c r="L12" s="82">
        <v>0</v>
      </c>
      <c r="M12" s="81">
        <v>6553</v>
      </c>
      <c r="N12" s="81">
        <v>275</v>
      </c>
      <c r="O12" s="83">
        <v>0</v>
      </c>
      <c r="P12" s="83">
        <v>0</v>
      </c>
      <c r="Q12" s="85">
        <v>16990</v>
      </c>
      <c r="R12" s="104" t="s">
        <v>137</v>
      </c>
    </row>
    <row r="13" spans="2:18">
      <c r="B13" s="81">
        <v>0</v>
      </c>
      <c r="C13" s="81">
        <v>0</v>
      </c>
      <c r="D13" s="81">
        <v>1000</v>
      </c>
      <c r="E13" s="81">
        <v>0</v>
      </c>
      <c r="F13" s="81">
        <v>0</v>
      </c>
      <c r="G13" s="81">
        <v>0</v>
      </c>
      <c r="H13" s="81">
        <v>0</v>
      </c>
      <c r="I13" s="81">
        <v>88</v>
      </c>
      <c r="J13" s="81">
        <v>34474</v>
      </c>
      <c r="K13" s="81">
        <v>6565</v>
      </c>
      <c r="L13" s="82">
        <v>0</v>
      </c>
      <c r="M13" s="81">
        <v>6552</v>
      </c>
      <c r="N13" s="81">
        <v>270</v>
      </c>
      <c r="O13" s="83">
        <v>0</v>
      </c>
      <c r="P13" s="83">
        <v>0</v>
      </c>
      <c r="Q13" s="85">
        <v>16990</v>
      </c>
      <c r="R13" s="104" t="s">
        <v>138</v>
      </c>
    </row>
    <row r="14" spans="2:18">
      <c r="B14" s="81">
        <v>0</v>
      </c>
      <c r="C14" s="81">
        <v>0</v>
      </c>
      <c r="D14" s="81">
        <v>1000</v>
      </c>
      <c r="E14" s="81">
        <v>0</v>
      </c>
      <c r="F14" s="81">
        <v>0</v>
      </c>
      <c r="G14" s="81">
        <v>0</v>
      </c>
      <c r="H14" s="81">
        <v>0</v>
      </c>
      <c r="I14" s="81">
        <v>89</v>
      </c>
      <c r="J14" s="81">
        <v>34474</v>
      </c>
      <c r="K14" s="81">
        <v>6563</v>
      </c>
      <c r="L14" s="82">
        <v>0</v>
      </c>
      <c r="M14" s="81">
        <v>6553</v>
      </c>
      <c r="N14" s="81">
        <v>280</v>
      </c>
      <c r="O14" s="83">
        <v>0</v>
      </c>
      <c r="P14" s="83">
        <v>0</v>
      </c>
      <c r="Q14" s="85">
        <v>16990</v>
      </c>
      <c r="R14" s="104" t="s">
        <v>139</v>
      </c>
    </row>
    <row r="15" spans="2:18">
      <c r="B15" s="81">
        <v>0</v>
      </c>
      <c r="C15" s="81">
        <v>0</v>
      </c>
      <c r="D15" s="81">
        <v>1000</v>
      </c>
      <c r="E15" s="81">
        <v>0</v>
      </c>
      <c r="F15" s="81">
        <v>0</v>
      </c>
      <c r="G15" s="81">
        <v>0</v>
      </c>
      <c r="H15" s="81">
        <v>0</v>
      </c>
      <c r="I15" s="81">
        <v>91</v>
      </c>
      <c r="J15" s="81">
        <v>34474</v>
      </c>
      <c r="K15" s="81">
        <v>6563</v>
      </c>
      <c r="L15" s="82">
        <v>0</v>
      </c>
      <c r="M15" s="81">
        <v>6553</v>
      </c>
      <c r="N15" s="81">
        <v>265</v>
      </c>
      <c r="O15" s="83">
        <v>0</v>
      </c>
      <c r="P15" s="83">
        <v>0</v>
      </c>
      <c r="Q15" s="85">
        <v>16990</v>
      </c>
      <c r="R15" s="104" t="s">
        <v>140</v>
      </c>
    </row>
    <row r="16" spans="2:18">
      <c r="B16" s="81">
        <v>0</v>
      </c>
      <c r="C16" s="81">
        <v>10305</v>
      </c>
      <c r="D16" s="81">
        <v>1000</v>
      </c>
      <c r="E16" s="81">
        <v>0</v>
      </c>
      <c r="F16" s="81">
        <v>0</v>
      </c>
      <c r="G16" s="81">
        <v>0</v>
      </c>
      <c r="H16" s="81">
        <v>0</v>
      </c>
      <c r="I16" s="81">
        <v>101</v>
      </c>
      <c r="J16" s="81">
        <v>34474</v>
      </c>
      <c r="K16" s="81">
        <v>21419</v>
      </c>
      <c r="L16" s="82">
        <v>10105</v>
      </c>
      <c r="M16" s="81">
        <v>21921</v>
      </c>
      <c r="N16" s="81">
        <v>825</v>
      </c>
      <c r="O16" s="83">
        <v>0</v>
      </c>
      <c r="P16" s="83">
        <v>0</v>
      </c>
      <c r="Q16" s="85">
        <v>40009</v>
      </c>
      <c r="R16" s="104" t="s">
        <v>141</v>
      </c>
    </row>
    <row r="17" spans="1:18">
      <c r="B17" s="81">
        <v>0</v>
      </c>
      <c r="C17" s="81">
        <v>0</v>
      </c>
      <c r="D17" s="81">
        <v>1000</v>
      </c>
      <c r="E17" s="81">
        <v>0</v>
      </c>
      <c r="F17" s="81">
        <v>0</v>
      </c>
      <c r="G17" s="81">
        <v>0</v>
      </c>
      <c r="H17" s="81">
        <v>0</v>
      </c>
      <c r="I17" s="81">
        <v>91</v>
      </c>
      <c r="J17" s="81">
        <v>34474</v>
      </c>
      <c r="K17" s="81">
        <v>6563</v>
      </c>
      <c r="L17" s="82">
        <v>0</v>
      </c>
      <c r="M17" s="81">
        <v>6554</v>
      </c>
      <c r="N17" s="81">
        <v>266</v>
      </c>
      <c r="O17" s="83">
        <v>0</v>
      </c>
      <c r="P17" s="83">
        <v>0</v>
      </c>
      <c r="Q17" s="85">
        <v>16990</v>
      </c>
      <c r="R17" s="104" t="s">
        <v>142</v>
      </c>
    </row>
    <row r="18" spans="1:18">
      <c r="B18" s="81">
        <v>0</v>
      </c>
      <c r="C18" s="81">
        <v>0</v>
      </c>
      <c r="D18" s="81">
        <v>1000</v>
      </c>
      <c r="E18" s="81">
        <v>0</v>
      </c>
      <c r="F18" s="81">
        <v>0</v>
      </c>
      <c r="G18" s="81">
        <v>0</v>
      </c>
      <c r="H18" s="81">
        <v>0</v>
      </c>
      <c r="I18" s="81">
        <v>88</v>
      </c>
      <c r="J18" s="81">
        <v>34474</v>
      </c>
      <c r="K18" s="81">
        <v>6559</v>
      </c>
      <c r="L18" s="82">
        <v>0</v>
      </c>
      <c r="M18" s="81">
        <v>6554</v>
      </c>
      <c r="N18" s="81">
        <v>267</v>
      </c>
      <c r="O18" s="83">
        <v>0</v>
      </c>
      <c r="P18" s="83">
        <v>0</v>
      </c>
      <c r="Q18" s="85">
        <v>16990</v>
      </c>
      <c r="R18" s="104" t="s">
        <v>143</v>
      </c>
    </row>
    <row r="19" spans="1:18">
      <c r="B19" s="81">
        <v>0</v>
      </c>
      <c r="C19" s="81">
        <v>0</v>
      </c>
      <c r="D19" s="81">
        <v>1000</v>
      </c>
      <c r="E19" s="81">
        <v>0</v>
      </c>
      <c r="F19" s="81">
        <v>0</v>
      </c>
      <c r="G19" s="81">
        <v>0</v>
      </c>
      <c r="H19" s="81">
        <v>0</v>
      </c>
      <c r="I19" s="81">
        <v>91</v>
      </c>
      <c r="J19" s="81">
        <v>34474</v>
      </c>
      <c r="K19" s="81">
        <v>6562</v>
      </c>
      <c r="L19" s="82">
        <v>0</v>
      </c>
      <c r="M19" s="81">
        <v>6555</v>
      </c>
      <c r="N19" s="81">
        <v>274</v>
      </c>
      <c r="O19" s="83">
        <v>0</v>
      </c>
      <c r="P19" s="83">
        <v>0</v>
      </c>
      <c r="Q19" s="85">
        <v>16990</v>
      </c>
      <c r="R19" s="104" t="s">
        <v>144</v>
      </c>
    </row>
    <row r="20" spans="1:18">
      <c r="B20" s="81">
        <v>0</v>
      </c>
      <c r="C20" s="81">
        <v>0</v>
      </c>
      <c r="D20" s="81">
        <v>1000</v>
      </c>
      <c r="E20" s="81">
        <v>0</v>
      </c>
      <c r="F20" s="81">
        <v>0</v>
      </c>
      <c r="G20" s="81">
        <v>0</v>
      </c>
      <c r="H20" s="81">
        <v>0</v>
      </c>
      <c r="I20" s="81">
        <v>0</v>
      </c>
      <c r="J20" s="81">
        <v>34474</v>
      </c>
      <c r="K20" s="81">
        <v>0</v>
      </c>
      <c r="L20" s="82">
        <v>0</v>
      </c>
      <c r="M20" s="81">
        <v>69</v>
      </c>
      <c r="N20" s="81">
        <v>0</v>
      </c>
      <c r="O20" s="83">
        <v>1</v>
      </c>
      <c r="P20" s="83">
        <v>0</v>
      </c>
      <c r="Q20" s="85">
        <v>65535</v>
      </c>
      <c r="R20" s="104" t="s">
        <v>159</v>
      </c>
    </row>
    <row r="21" spans="1:18">
      <c r="B21" s="81">
        <v>0</v>
      </c>
      <c r="C21" s="81">
        <v>0</v>
      </c>
      <c r="D21" s="81">
        <v>1000</v>
      </c>
      <c r="E21" s="81">
        <v>0</v>
      </c>
      <c r="F21" s="81">
        <v>0</v>
      </c>
      <c r="G21" s="81">
        <v>0</v>
      </c>
      <c r="H21" s="81">
        <v>0</v>
      </c>
      <c r="I21" s="81">
        <v>0</v>
      </c>
      <c r="J21" s="81">
        <v>34474</v>
      </c>
      <c r="K21" s="81">
        <v>0</v>
      </c>
      <c r="L21" s="82">
        <v>0</v>
      </c>
      <c r="M21" s="81">
        <v>47</v>
      </c>
      <c r="N21" s="81">
        <v>0</v>
      </c>
      <c r="O21" s="83">
        <v>1</v>
      </c>
      <c r="P21" s="83">
        <v>0</v>
      </c>
      <c r="Q21" s="85">
        <v>65535</v>
      </c>
      <c r="R21" s="104" t="s">
        <v>160</v>
      </c>
    </row>
    <row r="22" spans="1:18">
      <c r="A22" s="112"/>
      <c r="B22" s="81">
        <v>0</v>
      </c>
      <c r="C22" s="81">
        <v>0</v>
      </c>
      <c r="D22" s="81">
        <v>1000</v>
      </c>
      <c r="E22" s="81">
        <v>0</v>
      </c>
      <c r="F22" s="81">
        <v>0</v>
      </c>
      <c r="G22" s="81">
        <v>0</v>
      </c>
      <c r="H22" s="81">
        <v>0</v>
      </c>
      <c r="I22" s="81">
        <v>0</v>
      </c>
      <c r="J22" s="81">
        <v>34474</v>
      </c>
      <c r="K22" s="81">
        <v>0</v>
      </c>
      <c r="L22" s="82">
        <v>0</v>
      </c>
      <c r="M22" s="81">
        <v>95</v>
      </c>
      <c r="N22" s="81">
        <v>0</v>
      </c>
      <c r="O22" s="83">
        <v>1</v>
      </c>
      <c r="P22" s="83">
        <v>0</v>
      </c>
      <c r="Q22" s="85">
        <v>65535</v>
      </c>
      <c r="R22" s="104" t="s">
        <v>161</v>
      </c>
    </row>
    <row r="23" spans="1:18">
      <c r="B23" s="81">
        <v>0</v>
      </c>
      <c r="C23" s="81">
        <v>0</v>
      </c>
      <c r="D23" s="81">
        <v>1000</v>
      </c>
      <c r="E23" s="81">
        <v>0</v>
      </c>
      <c r="F23" s="81">
        <v>0</v>
      </c>
      <c r="G23" s="81">
        <v>0</v>
      </c>
      <c r="H23" s="81">
        <v>0</v>
      </c>
      <c r="I23" s="81">
        <v>0</v>
      </c>
      <c r="J23" s="81">
        <v>34474</v>
      </c>
      <c r="K23" s="81">
        <v>0</v>
      </c>
      <c r="L23" s="82">
        <v>0</v>
      </c>
      <c r="M23" s="81">
        <v>119</v>
      </c>
      <c r="N23" s="81">
        <v>0</v>
      </c>
      <c r="O23" s="83">
        <v>1</v>
      </c>
      <c r="P23" s="83">
        <v>0</v>
      </c>
      <c r="Q23" s="85">
        <v>65535</v>
      </c>
      <c r="R23" s="104" t="s">
        <v>162</v>
      </c>
    </row>
    <row r="24" spans="1:18">
      <c r="B24" s="81">
        <v>0</v>
      </c>
      <c r="C24" s="81">
        <v>0</v>
      </c>
      <c r="D24" s="81">
        <v>1000</v>
      </c>
      <c r="E24" s="81">
        <v>0</v>
      </c>
      <c r="F24" s="81">
        <v>0</v>
      </c>
      <c r="G24" s="81">
        <v>0</v>
      </c>
      <c r="H24" s="81">
        <v>0</v>
      </c>
      <c r="I24" s="81">
        <v>0</v>
      </c>
      <c r="J24" s="81">
        <v>34474</v>
      </c>
      <c r="K24" s="81">
        <v>0</v>
      </c>
      <c r="L24" s="82">
        <v>0</v>
      </c>
      <c r="M24" s="81">
        <v>95</v>
      </c>
      <c r="N24" s="81">
        <v>0</v>
      </c>
      <c r="O24" s="83">
        <v>1</v>
      </c>
      <c r="P24" s="83">
        <v>0</v>
      </c>
      <c r="Q24" s="85">
        <v>65535</v>
      </c>
      <c r="R24" s="104" t="s">
        <v>163</v>
      </c>
    </row>
    <row r="25" spans="1:18">
      <c r="B25" s="81">
        <v>0</v>
      </c>
      <c r="C25" s="81">
        <v>0</v>
      </c>
      <c r="D25" s="81">
        <v>1000</v>
      </c>
      <c r="E25" s="81">
        <v>0</v>
      </c>
      <c r="F25" s="81">
        <v>0</v>
      </c>
      <c r="G25" s="81">
        <v>0</v>
      </c>
      <c r="H25" s="81">
        <v>0</v>
      </c>
      <c r="I25" s="81">
        <v>0</v>
      </c>
      <c r="J25" s="81">
        <v>34474</v>
      </c>
      <c r="K25" s="81">
        <v>0</v>
      </c>
      <c r="L25" s="82">
        <v>0</v>
      </c>
      <c r="M25" s="81">
        <v>179</v>
      </c>
      <c r="N25" s="81">
        <v>0</v>
      </c>
      <c r="O25" s="83">
        <v>1</v>
      </c>
      <c r="P25" s="83">
        <v>0</v>
      </c>
      <c r="Q25" s="85">
        <v>65535</v>
      </c>
      <c r="R25" s="104" t="s">
        <v>164</v>
      </c>
    </row>
    <row r="26" spans="1:18">
      <c r="B26" s="81">
        <v>0</v>
      </c>
      <c r="C26" s="81">
        <v>0</v>
      </c>
      <c r="D26" s="81">
        <v>1000</v>
      </c>
      <c r="E26" s="81">
        <v>0</v>
      </c>
      <c r="F26" s="81">
        <v>0</v>
      </c>
      <c r="G26" s="81">
        <v>0</v>
      </c>
      <c r="H26" s="81">
        <v>0</v>
      </c>
      <c r="I26" s="81">
        <v>0</v>
      </c>
      <c r="J26" s="81">
        <v>34474</v>
      </c>
      <c r="K26" s="81">
        <v>0</v>
      </c>
      <c r="L26" s="82">
        <v>0</v>
      </c>
      <c r="M26" s="81">
        <v>56</v>
      </c>
      <c r="N26" s="81">
        <v>0</v>
      </c>
      <c r="O26" s="83">
        <v>1</v>
      </c>
      <c r="P26" s="83">
        <v>0</v>
      </c>
      <c r="Q26" s="85">
        <v>65535</v>
      </c>
      <c r="R26" s="104" t="s">
        <v>165</v>
      </c>
    </row>
    <row r="27" spans="1:18">
      <c r="B27" s="81">
        <v>0</v>
      </c>
      <c r="C27" s="81">
        <v>0</v>
      </c>
      <c r="D27" s="81">
        <v>1000</v>
      </c>
      <c r="E27" s="81">
        <v>0</v>
      </c>
      <c r="F27" s="81">
        <v>0</v>
      </c>
      <c r="G27" s="81">
        <v>0</v>
      </c>
      <c r="H27" s="81">
        <v>0</v>
      </c>
      <c r="I27" s="81">
        <v>0</v>
      </c>
      <c r="J27" s="81">
        <v>34474</v>
      </c>
      <c r="K27" s="81">
        <v>0</v>
      </c>
      <c r="L27" s="82">
        <v>0</v>
      </c>
      <c r="M27" s="81">
        <v>59</v>
      </c>
      <c r="N27" s="81">
        <v>0</v>
      </c>
      <c r="O27" s="83">
        <v>1</v>
      </c>
      <c r="P27" s="83">
        <v>0</v>
      </c>
      <c r="Q27" s="85">
        <v>65535</v>
      </c>
      <c r="R27" s="104" t="s">
        <v>166</v>
      </c>
    </row>
    <row r="28" spans="1:18">
      <c r="B28" s="81">
        <v>0</v>
      </c>
      <c r="C28" s="81">
        <v>0</v>
      </c>
      <c r="D28" s="81">
        <v>1000</v>
      </c>
      <c r="E28" s="81">
        <v>0</v>
      </c>
      <c r="F28" s="81">
        <v>0</v>
      </c>
      <c r="G28" s="81">
        <v>0</v>
      </c>
      <c r="H28" s="81">
        <v>0</v>
      </c>
      <c r="I28" s="81">
        <v>0</v>
      </c>
      <c r="J28" s="81">
        <v>34474</v>
      </c>
      <c r="K28" s="81">
        <v>0</v>
      </c>
      <c r="L28" s="82">
        <v>0</v>
      </c>
      <c r="M28" s="81">
        <v>71</v>
      </c>
      <c r="N28" s="81">
        <v>0</v>
      </c>
      <c r="O28" s="83">
        <v>1</v>
      </c>
      <c r="P28" s="83">
        <v>0</v>
      </c>
      <c r="Q28" s="85">
        <v>65535</v>
      </c>
      <c r="R28" s="104" t="s">
        <v>167</v>
      </c>
    </row>
    <row r="29" spans="1:18">
      <c r="B29" s="81">
        <v>0</v>
      </c>
      <c r="C29" s="81">
        <v>0</v>
      </c>
      <c r="D29" s="81">
        <v>1000</v>
      </c>
      <c r="E29" s="81">
        <v>0</v>
      </c>
      <c r="F29" s="81">
        <v>0</v>
      </c>
      <c r="G29" s="81">
        <v>0</v>
      </c>
      <c r="H29" s="81">
        <v>0</v>
      </c>
      <c r="I29" s="81">
        <v>0</v>
      </c>
      <c r="J29" s="81">
        <v>34474</v>
      </c>
      <c r="K29" s="81">
        <v>0</v>
      </c>
      <c r="L29" s="82">
        <v>0</v>
      </c>
      <c r="M29" s="81">
        <v>46</v>
      </c>
      <c r="N29" s="81">
        <v>0</v>
      </c>
      <c r="O29" s="83">
        <v>1</v>
      </c>
      <c r="P29" s="83">
        <v>0</v>
      </c>
      <c r="Q29" s="85">
        <v>65535</v>
      </c>
      <c r="R29" s="104" t="s">
        <v>168</v>
      </c>
    </row>
    <row r="30" spans="1:18">
      <c r="B30" s="81">
        <v>0</v>
      </c>
      <c r="C30" s="81">
        <v>0</v>
      </c>
      <c r="D30" s="81">
        <v>1000</v>
      </c>
      <c r="E30" s="81">
        <v>0</v>
      </c>
      <c r="F30" s="81">
        <v>0</v>
      </c>
      <c r="G30" s="81">
        <v>0</v>
      </c>
      <c r="H30" s="81">
        <v>0</v>
      </c>
      <c r="I30" s="81">
        <v>0</v>
      </c>
      <c r="J30" s="81">
        <v>34474</v>
      </c>
      <c r="K30" s="81">
        <v>0</v>
      </c>
      <c r="L30" s="82">
        <v>0</v>
      </c>
      <c r="M30" s="81">
        <v>84</v>
      </c>
      <c r="N30" s="81">
        <v>0</v>
      </c>
      <c r="O30" s="83">
        <v>1</v>
      </c>
      <c r="P30" s="83">
        <v>0</v>
      </c>
      <c r="Q30" s="85">
        <v>65535</v>
      </c>
      <c r="R30" s="104" t="s">
        <v>169</v>
      </c>
    </row>
    <row r="31" spans="1:18">
      <c r="B31" s="81">
        <v>0</v>
      </c>
      <c r="C31" s="81">
        <v>0</v>
      </c>
      <c r="D31" s="81">
        <v>1000</v>
      </c>
      <c r="E31" s="81">
        <v>0</v>
      </c>
      <c r="F31" s="81">
        <v>0</v>
      </c>
      <c r="G31" s="81">
        <v>0</v>
      </c>
      <c r="H31" s="81">
        <v>0</v>
      </c>
      <c r="I31" s="81">
        <v>0</v>
      </c>
      <c r="J31" s="81">
        <v>34474</v>
      </c>
      <c r="K31" s="81">
        <v>0</v>
      </c>
      <c r="L31" s="82">
        <v>0</v>
      </c>
      <c r="M31" s="81">
        <v>92</v>
      </c>
      <c r="N31" s="81">
        <v>0</v>
      </c>
      <c r="O31" s="83">
        <v>1</v>
      </c>
      <c r="P31" s="83">
        <v>0</v>
      </c>
      <c r="Q31" s="85">
        <v>65535</v>
      </c>
      <c r="R31" s="104" t="s">
        <v>170</v>
      </c>
    </row>
    <row r="32" spans="1:18">
      <c r="B32" s="81">
        <v>0</v>
      </c>
      <c r="C32" s="81">
        <v>0</v>
      </c>
      <c r="D32" s="81">
        <v>1000</v>
      </c>
      <c r="E32" s="81">
        <v>0</v>
      </c>
      <c r="F32" s="81">
        <v>0</v>
      </c>
      <c r="G32" s="81">
        <v>0</v>
      </c>
      <c r="H32" s="81">
        <v>0</v>
      </c>
      <c r="I32" s="81">
        <v>0</v>
      </c>
      <c r="J32" s="81">
        <v>34474</v>
      </c>
      <c r="K32" s="81">
        <v>0</v>
      </c>
      <c r="L32" s="82">
        <v>0</v>
      </c>
      <c r="M32" s="81">
        <v>236</v>
      </c>
      <c r="N32" s="81">
        <v>0</v>
      </c>
      <c r="O32" s="83">
        <v>1</v>
      </c>
      <c r="P32" s="83">
        <v>0</v>
      </c>
      <c r="Q32" s="85">
        <v>65535</v>
      </c>
      <c r="R32" s="104" t="s">
        <v>171</v>
      </c>
    </row>
    <row r="33" spans="1:18">
      <c r="B33" s="81">
        <v>0</v>
      </c>
      <c r="C33" s="81">
        <v>0</v>
      </c>
      <c r="D33" s="81">
        <v>1000</v>
      </c>
      <c r="E33" s="81">
        <v>0</v>
      </c>
      <c r="F33" s="81">
        <v>0</v>
      </c>
      <c r="G33" s="81">
        <v>0</v>
      </c>
      <c r="H33" s="81">
        <v>0</v>
      </c>
      <c r="I33" s="81">
        <v>0</v>
      </c>
      <c r="J33" s="81">
        <v>34474</v>
      </c>
      <c r="K33" s="81">
        <v>0</v>
      </c>
      <c r="L33" s="82">
        <v>0</v>
      </c>
      <c r="M33" s="81">
        <v>216</v>
      </c>
      <c r="N33" s="81">
        <v>0</v>
      </c>
      <c r="O33" s="83">
        <v>1</v>
      </c>
      <c r="P33" s="83">
        <v>0</v>
      </c>
      <c r="Q33" s="85">
        <v>65535</v>
      </c>
      <c r="R33" s="104" t="s">
        <v>172</v>
      </c>
    </row>
    <row r="34" spans="1:18">
      <c r="B34" s="81">
        <v>0</v>
      </c>
      <c r="C34" s="81">
        <v>0</v>
      </c>
      <c r="D34" s="81">
        <v>1000</v>
      </c>
      <c r="E34" s="81">
        <v>0</v>
      </c>
      <c r="F34" s="81">
        <v>0</v>
      </c>
      <c r="G34" s="81">
        <v>0</v>
      </c>
      <c r="H34" s="81">
        <v>0</v>
      </c>
      <c r="I34" s="81">
        <v>125</v>
      </c>
      <c r="J34" s="81">
        <v>20684</v>
      </c>
      <c r="K34" s="81">
        <v>32160</v>
      </c>
      <c r="L34" s="82">
        <v>10104</v>
      </c>
      <c r="M34" s="81">
        <v>32164</v>
      </c>
      <c r="N34" s="81">
        <v>725</v>
      </c>
      <c r="O34" s="83">
        <v>0</v>
      </c>
      <c r="P34" s="83">
        <v>0</v>
      </c>
      <c r="Q34" s="85">
        <v>32156</v>
      </c>
      <c r="R34" s="104" t="s">
        <v>173</v>
      </c>
    </row>
    <row r="35" spans="1:18">
      <c r="B35" s="81">
        <v>0</v>
      </c>
      <c r="C35" s="81">
        <v>0</v>
      </c>
      <c r="D35" s="81">
        <v>1000</v>
      </c>
      <c r="E35" s="81">
        <v>0</v>
      </c>
      <c r="F35" s="81">
        <v>0</v>
      </c>
      <c r="G35" s="81">
        <v>0</v>
      </c>
      <c r="H35" s="81">
        <v>0</v>
      </c>
      <c r="I35" s="81">
        <v>125</v>
      </c>
      <c r="J35" s="81">
        <v>20684</v>
      </c>
      <c r="K35" s="81">
        <v>32167</v>
      </c>
      <c r="L35" s="82">
        <v>10103</v>
      </c>
      <c r="M35" s="81">
        <v>32163</v>
      </c>
      <c r="N35" s="81">
        <v>715</v>
      </c>
      <c r="O35" s="83">
        <v>0</v>
      </c>
      <c r="P35" s="83">
        <v>0</v>
      </c>
      <c r="Q35" s="85">
        <v>32156</v>
      </c>
      <c r="R35" s="104" t="s">
        <v>174</v>
      </c>
    </row>
    <row r="36" spans="1:18">
      <c r="B36" t="s">
        <v>198</v>
      </c>
    </row>
    <row r="37" spans="1:18">
      <c r="B37" s="154">
        <f ca="1">NOW()</f>
        <v>42044.611944097225</v>
      </c>
      <c r="C37" s="154"/>
      <c r="D37" s="114"/>
      <c r="E37" s="114"/>
    </row>
    <row r="40" spans="1:18">
      <c r="A40" s="112"/>
    </row>
    <row r="60" spans="4:15">
      <c r="D60" s="113"/>
      <c r="E60" s="113"/>
      <c r="G60" s="113"/>
      <c r="I60" s="113"/>
      <c r="J60" s="113"/>
    </row>
    <row r="61" spans="4:15">
      <c r="D61" s="113"/>
      <c r="E61" s="113"/>
      <c r="G61" s="113"/>
      <c r="I61" s="113"/>
      <c r="J61" s="113"/>
      <c r="N61" s="113"/>
      <c r="O61" s="113"/>
    </row>
    <row r="62" spans="4:15">
      <c r="D62" s="113"/>
      <c r="E62" s="113"/>
      <c r="G62" s="113"/>
      <c r="I62" s="113"/>
      <c r="J62" s="113"/>
      <c r="N62" s="113"/>
      <c r="O62" s="113"/>
    </row>
    <row r="63" spans="4:15">
      <c r="D63" s="113"/>
      <c r="E63" s="113"/>
      <c r="G63" s="113"/>
      <c r="I63" s="113"/>
      <c r="J63" s="113"/>
      <c r="N63" s="113"/>
      <c r="O63" s="113"/>
    </row>
    <row r="64" spans="4:15">
      <c r="D64" s="113"/>
      <c r="E64" s="113"/>
      <c r="G64" s="113"/>
      <c r="I64" s="113"/>
      <c r="J64" s="113"/>
      <c r="N64" s="113"/>
      <c r="O64" s="113"/>
    </row>
    <row r="65" spans="4:15">
      <c r="D65" s="113"/>
      <c r="E65" s="113"/>
      <c r="G65" s="113"/>
      <c r="I65" s="113"/>
      <c r="J65" s="113"/>
      <c r="N65" s="113"/>
      <c r="O65" s="113"/>
    </row>
    <row r="66" spans="4:15">
      <c r="D66" s="113"/>
      <c r="E66" s="113"/>
      <c r="G66" s="113"/>
      <c r="I66" s="113"/>
      <c r="J66" s="113"/>
      <c r="N66" s="113"/>
      <c r="O66" s="113"/>
    </row>
    <row r="67" spans="4:15">
      <c r="D67" s="113"/>
      <c r="E67" s="113"/>
      <c r="G67" s="113"/>
      <c r="I67" s="113"/>
      <c r="J67" s="113"/>
      <c r="N67" s="113"/>
      <c r="O67" s="113"/>
    </row>
    <row r="68" spans="4:15">
      <c r="D68" s="113"/>
      <c r="E68" s="113"/>
      <c r="G68" s="113"/>
      <c r="I68" s="113"/>
      <c r="J68" s="113"/>
      <c r="N68" s="113"/>
      <c r="O68" s="113"/>
    </row>
    <row r="69" spans="4:15">
      <c r="D69" s="113"/>
      <c r="E69" s="113"/>
      <c r="G69" s="113"/>
      <c r="I69" s="113"/>
      <c r="J69" s="113"/>
      <c r="N69" s="113"/>
      <c r="O69" s="113"/>
    </row>
    <row r="70" spans="4:15">
      <c r="D70" s="113"/>
      <c r="E70" s="113"/>
      <c r="G70" s="113"/>
      <c r="I70" s="113"/>
      <c r="J70" s="113"/>
      <c r="N70" s="113"/>
      <c r="O70" s="113"/>
    </row>
    <row r="71" spans="4:15">
      <c r="D71" s="113"/>
      <c r="E71" s="113"/>
      <c r="G71" s="113"/>
      <c r="I71" s="113"/>
      <c r="J71" s="113"/>
      <c r="N71" s="113"/>
      <c r="O71" s="113"/>
    </row>
    <row r="72" spans="4:15">
      <c r="D72" s="113"/>
      <c r="E72" s="113"/>
      <c r="G72" s="113"/>
      <c r="I72" s="113"/>
      <c r="J72" s="113"/>
      <c r="N72" s="113"/>
      <c r="O72" s="113"/>
    </row>
    <row r="73" spans="4:15">
      <c r="D73" s="113"/>
      <c r="E73" s="113"/>
      <c r="G73" s="113"/>
      <c r="I73" s="113"/>
      <c r="J73" s="113"/>
      <c r="N73" s="113"/>
      <c r="O73" s="113"/>
    </row>
    <row r="74" spans="4:15">
      <c r="D74" s="113"/>
      <c r="E74" s="113"/>
      <c r="G74" s="113"/>
      <c r="I74" s="113"/>
      <c r="J74" s="113"/>
      <c r="N74" s="113"/>
      <c r="O74" s="113"/>
    </row>
    <row r="75" spans="4:15">
      <c r="D75" s="113"/>
      <c r="E75" s="113"/>
      <c r="G75" s="113"/>
      <c r="I75" s="113"/>
      <c r="J75" s="113"/>
      <c r="N75" s="113"/>
      <c r="O75" s="113"/>
    </row>
    <row r="76" spans="4:15">
      <c r="D76" s="113"/>
      <c r="E76" s="113"/>
      <c r="G76" s="113"/>
      <c r="I76" s="113"/>
      <c r="J76" s="113"/>
      <c r="N76" s="113"/>
      <c r="O76" s="113"/>
    </row>
  </sheetData>
  <mergeCells count="1">
    <mergeCell ref="B37:C37"/>
  </mergeCells>
  <phoneticPr fontId="4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Holding Reg RW</vt:lpstr>
      <vt:lpstr>Uint Converter</vt:lpstr>
      <vt:lpstr>register</vt:lpstr>
      <vt:lpstr>reg 1</vt:lpstr>
      <vt:lpstr>Back-up</vt:lpstr>
      <vt:lpstr>Backup Data</vt:lpstr>
    </vt:vector>
  </TitlesOfParts>
  <Company>ABB Process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Ross</dc:creator>
  <cp:lastModifiedBy>Erik Hurum Syvertsen</cp:lastModifiedBy>
  <cp:lastPrinted>2010-05-07T02:40:37Z</cp:lastPrinted>
  <dcterms:created xsi:type="dcterms:W3CDTF">2000-01-11T13:29:44Z</dcterms:created>
  <dcterms:modified xsi:type="dcterms:W3CDTF">2015-02-09T13:41:12Z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